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Walter\Github\"/>
    </mc:Choice>
  </mc:AlternateContent>
  <xr:revisionPtr revIDLastSave="0" documentId="8_{5F973FE4-4EBD-465E-8397-5716F794AE46}" xr6:coauthVersionLast="47" xr6:coauthVersionMax="47" xr10:uidLastSave="{00000000-0000-0000-0000-000000000000}"/>
  <bookViews>
    <workbookView xWindow="4783" yWindow="2143" windowWidth="24686" windowHeight="13148" xr2:uid="{D0C83F91-7589-458B-9912-8B1035B89F4C}"/>
  </bookViews>
  <sheets>
    <sheet name="Sheet1" sheetId="1" r:id="rId1"/>
    <sheet name="Sheet2" sheetId="2" r:id="rId2"/>
  </sheets>
  <definedNames>
    <definedName name="_xleta.IFERROR" hidden="1" xlm="1">#NAME?</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4" i="1" l="1" a="1"/>
  <c r="P54" i="1" s="1"/>
  <c r="Q54" i="1" s="1"/>
  <c r="Q9" i="1"/>
  <c r="Q48" i="1"/>
  <c r="Q37" i="1"/>
  <c r="Q8" i="1"/>
  <c r="Q50" i="1"/>
  <c r="Q16" i="1"/>
  <c r="Q18" i="1"/>
  <c r="Q17" i="1"/>
  <c r="Q12" i="1"/>
  <c r="Q7" i="1"/>
  <c r="Q15" i="1"/>
  <c r="Q13" i="1"/>
  <c r="Q21" i="1"/>
  <c r="Q25" i="1"/>
  <c r="Q57" i="1"/>
  <c r="Q29" i="1"/>
  <c r="Q22" i="1"/>
  <c r="Q24" i="1"/>
  <c r="Q23" i="1"/>
  <c r="Q26" i="1"/>
  <c r="Q55" i="1"/>
  <c r="Q20" i="1"/>
  <c r="Q27" i="1"/>
  <c r="Q28" i="1"/>
  <c r="Q30" i="1"/>
  <c r="Q32" i="1"/>
  <c r="Q35" i="1"/>
  <c r="Q19" i="1"/>
  <c r="Q59" i="1"/>
  <c r="Q33" i="1"/>
  <c r="Q39" i="1"/>
  <c r="Q51" i="1"/>
  <c r="Q47" i="1"/>
  <c r="Q36" i="1"/>
  <c r="Q49" i="1"/>
  <c r="Q53" i="1"/>
  <c r="Q52" i="1"/>
  <c r="Q58" i="1"/>
  <c r="Q41" i="1"/>
  <c r="Q46" i="1"/>
  <c r="Q45" i="1"/>
  <c r="Q42" i="1"/>
  <c r="Q38" i="1"/>
  <c r="Q40" i="1"/>
  <c r="Q43" i="1"/>
  <c r="Q44" i="1"/>
  <c r="P10" i="1" a="1"/>
  <c r="P10" i="1" s="1"/>
  <c r="Q10" i="1" s="1"/>
  <c r="A40" i="2" a="1"/>
  <c r="A40" i="2" s="1"/>
  <c r="A26" i="2" a="1"/>
  <c r="A26" i="2" s="1"/>
  <c r="A22" i="2" a="1"/>
  <c r="A22" i="2" s="1"/>
  <c r="A14" i="2" a="1"/>
  <c r="A14" i="2" s="1"/>
  <c r="A10" i="2" a="1"/>
  <c r="A10" i="2" s="1"/>
  <c r="A5" i="2" a="1"/>
  <c r="A5" i="2" s="1"/>
  <c r="A4" i="2" a="1"/>
  <c r="A4" i="2" s="1"/>
  <c r="A1" i="2" a="1"/>
  <c r="A1" i="2" s="1"/>
  <c r="S10" i="1" a="1"/>
  <c r="S10" i="1" s="1"/>
  <c r="S6" i="1" a="1"/>
  <c r="S6" i="1" s="1"/>
  <c r="S9" i="1" a="1"/>
  <c r="S9" i="1" s="1"/>
  <c r="S48" i="1" a="1"/>
  <c r="S48" i="1" s="1"/>
  <c r="B48" i="1" s="1"/>
  <c r="S37" i="1" a="1"/>
  <c r="S37" i="1" s="1"/>
  <c r="B37" i="1" s="1"/>
  <c r="S8" i="1" a="1"/>
  <c r="S8" i="1" s="1"/>
  <c r="S11" i="1" a="1"/>
  <c r="S11" i="1" s="1"/>
  <c r="S50" i="1" a="1"/>
  <c r="S50" i="1" s="1"/>
  <c r="S16" i="1" a="1"/>
  <c r="S16" i="1" s="1"/>
  <c r="S18" i="1" a="1"/>
  <c r="S18" i="1" s="1"/>
  <c r="S14" i="1" a="1"/>
  <c r="S14" i="1" s="1"/>
  <c r="S17" i="1" a="1"/>
  <c r="S17" i="1" s="1"/>
  <c r="B17" i="1" s="1"/>
  <c r="S12" i="1" a="1"/>
  <c r="S12" i="1" s="1"/>
  <c r="S7" i="1" a="1"/>
  <c r="S7" i="1" s="1"/>
  <c r="S15" i="1" a="1"/>
  <c r="S15" i="1" s="1"/>
  <c r="B15" i="1" s="1"/>
  <c r="S13" i="1" a="1"/>
  <c r="S13" i="1" s="1"/>
  <c r="S21" i="1" a="1"/>
  <c r="S21" i="1" s="1"/>
  <c r="S31" i="1" a="1"/>
  <c r="S31" i="1" s="1"/>
  <c r="S25" i="1" a="1"/>
  <c r="S25" i="1" s="1"/>
  <c r="S57" i="1" a="1"/>
  <c r="S57" i="1" s="1"/>
  <c r="S29" i="1" a="1"/>
  <c r="S29" i="1" s="1"/>
  <c r="S34" i="1" a="1"/>
  <c r="S34" i="1" s="1"/>
  <c r="S22" i="1" a="1"/>
  <c r="S22" i="1" s="1"/>
  <c r="S24" i="1" a="1"/>
  <c r="S24" i="1" s="1"/>
  <c r="S23" i="1" a="1"/>
  <c r="S23" i="1" s="1"/>
  <c r="B23" i="1" s="1"/>
  <c r="S26" i="1" a="1"/>
  <c r="S26" i="1" s="1"/>
  <c r="B26" i="1" s="1"/>
  <c r="S55" i="1" a="1"/>
  <c r="S55" i="1" s="1"/>
  <c r="S20" i="1" a="1"/>
  <c r="S20" i="1" s="1"/>
  <c r="B20" i="1" s="1"/>
  <c r="S27" i="1" a="1"/>
  <c r="S27" i="1" s="1"/>
  <c r="B27" i="1" s="1"/>
  <c r="S28" i="1" a="1"/>
  <c r="S28" i="1" s="1"/>
  <c r="B28" i="1" s="1"/>
  <c r="S30" i="1" a="1"/>
  <c r="S30" i="1" s="1"/>
  <c r="B30" i="1" s="1"/>
  <c r="S32" i="1" a="1"/>
  <c r="S32" i="1" s="1"/>
  <c r="B32" i="1" s="1"/>
  <c r="S35" i="1" a="1"/>
  <c r="S35" i="1" s="1"/>
  <c r="S19" i="1" a="1"/>
  <c r="S19" i="1" s="1"/>
  <c r="S59" i="1" a="1"/>
  <c r="S59" i="1" s="1"/>
  <c r="S56" i="1" a="1"/>
  <c r="S56" i="1" s="1"/>
  <c r="S33" i="1" a="1"/>
  <c r="S33" i="1" s="1"/>
  <c r="S39" i="1" a="1"/>
  <c r="S39" i="1" s="1"/>
  <c r="S51" i="1" a="1"/>
  <c r="S51" i="1" s="1"/>
  <c r="S47" i="1" a="1"/>
  <c r="S47" i="1" s="1"/>
  <c r="B47" i="1" s="1"/>
  <c r="S36" i="1" a="1"/>
  <c r="S36" i="1" s="1"/>
  <c r="S49" i="1" a="1"/>
  <c r="S49" i="1" s="1"/>
  <c r="B49" i="1" s="1"/>
  <c r="S53" i="1" a="1"/>
  <c r="S53" i="1" s="1"/>
  <c r="B53" i="1" s="1"/>
  <c r="S52" i="1" a="1"/>
  <c r="S52" i="1" s="1"/>
  <c r="S58" i="1" a="1"/>
  <c r="S58" i="1" s="1"/>
  <c r="B58" i="1" s="1"/>
  <c r="S41" i="1" a="1"/>
  <c r="S41" i="1" s="1"/>
  <c r="S46" i="1" a="1"/>
  <c r="S46" i="1" s="1"/>
  <c r="B46" i="1" s="1"/>
  <c r="S45" i="1" a="1"/>
  <c r="S45" i="1" s="1"/>
  <c r="B45" i="1" s="1"/>
  <c r="S42" i="1" a="1"/>
  <c r="S42" i="1" s="1"/>
  <c r="S38" i="1" a="1"/>
  <c r="S38" i="1" s="1"/>
  <c r="S40" i="1" a="1"/>
  <c r="S40" i="1" s="1"/>
  <c r="S43" i="1" a="1"/>
  <c r="S43" i="1" s="1"/>
  <c r="S44" i="1" a="1"/>
  <c r="S44" i="1" s="1"/>
  <c r="S54" i="1" a="1"/>
  <c r="S54" i="1" s="1"/>
  <c r="P31" i="1" a="1"/>
  <c r="P31" i="1" s="1"/>
  <c r="Q31" i="1" s="1"/>
  <c r="D54" i="1" a="1"/>
  <c r="D54" i="1" s="1"/>
  <c r="T54" i="1" a="1"/>
  <c r="T54" i="1" s="1"/>
  <c r="BV54" i="1"/>
  <c r="CA54" i="1"/>
  <c r="CD54" i="1"/>
  <c r="D35" i="1" a="1"/>
  <c r="D35" i="1" s="1"/>
  <c r="T35" i="1" a="1"/>
  <c r="T35" i="1" s="1"/>
  <c r="BV35" i="1"/>
  <c r="CA35" i="1"/>
  <c r="CD35" i="1"/>
  <c r="D48" i="1" a="1"/>
  <c r="D48" i="1" s="1"/>
  <c r="T48" i="1" a="1"/>
  <c r="T48" i="1" s="1"/>
  <c r="BV48" i="1"/>
  <c r="CA48" i="1"/>
  <c r="CD48" i="1"/>
  <c r="D55" i="1" a="1"/>
  <c r="D55" i="1" s="1"/>
  <c r="T55" i="1" a="1"/>
  <c r="T55" i="1" s="1"/>
  <c r="BV55" i="1"/>
  <c r="CA55" i="1"/>
  <c r="CD55" i="1"/>
  <c r="D9" i="1" a="1"/>
  <c r="D9" i="1" s="1"/>
  <c r="T9" i="1" a="1"/>
  <c r="T9" i="1" s="1"/>
  <c r="BV9" i="1"/>
  <c r="CA9" i="1"/>
  <c r="CD9" i="1"/>
  <c r="D8" i="1" a="1"/>
  <c r="D8" i="1" s="1"/>
  <c r="T8" i="1" a="1"/>
  <c r="T8" i="1" s="1"/>
  <c r="BV8" i="1"/>
  <c r="CA8" i="1"/>
  <c r="CD8" i="1"/>
  <c r="D57" i="1" a="1"/>
  <c r="D57" i="1" s="1"/>
  <c r="T57" i="1" a="1"/>
  <c r="T57" i="1" s="1"/>
  <c r="BV57" i="1"/>
  <c r="CA57" i="1"/>
  <c r="CD57" i="1"/>
  <c r="D50" i="1" a="1"/>
  <c r="D50" i="1" s="1"/>
  <c r="T50" i="1" a="1"/>
  <c r="T50" i="1" s="1"/>
  <c r="BV50" i="1"/>
  <c r="CA50" i="1"/>
  <c r="CD50" i="1"/>
  <c r="D21" i="1" a="1"/>
  <c r="D21" i="1" s="1"/>
  <c r="T21" i="1" a="1"/>
  <c r="T21" i="1" s="1"/>
  <c r="BV21" i="1"/>
  <c r="CA21" i="1"/>
  <c r="CD21" i="1"/>
  <c r="D37" i="1" a="1"/>
  <c r="D37" i="1" s="1"/>
  <c r="T37" i="1" a="1"/>
  <c r="T37" i="1" s="1"/>
  <c r="BV37" i="1"/>
  <c r="CA37" i="1"/>
  <c r="CD37" i="1"/>
  <c r="D59" i="1" a="1"/>
  <c r="D59" i="1" s="1"/>
  <c r="T59" i="1" a="1"/>
  <c r="T59" i="1" s="1"/>
  <c r="BV59" i="1"/>
  <c r="CA59" i="1"/>
  <c r="CD59" i="1"/>
  <c r="D7" i="1" a="1"/>
  <c r="D7" i="1" s="1"/>
  <c r="T7" i="1" a="1"/>
  <c r="T7" i="1" s="1"/>
  <c r="BV7" i="1"/>
  <c r="CA7" i="1"/>
  <c r="CD7" i="1"/>
  <c r="D12" i="1" a="1"/>
  <c r="D12" i="1" s="1"/>
  <c r="T12" i="1" a="1"/>
  <c r="T12" i="1" s="1"/>
  <c r="BV12" i="1"/>
  <c r="CA12" i="1"/>
  <c r="CD12" i="1"/>
  <c r="D13" i="1" a="1"/>
  <c r="D13" i="1" s="1"/>
  <c r="T13" i="1" a="1"/>
  <c r="T13" i="1" s="1"/>
  <c r="BV13" i="1"/>
  <c r="CA13" i="1"/>
  <c r="CD13" i="1"/>
  <c r="D58" i="1" a="1"/>
  <c r="D58" i="1" s="1"/>
  <c r="T58" i="1" a="1"/>
  <c r="T58" i="1" s="1"/>
  <c r="BV58" i="1"/>
  <c r="CA58" i="1"/>
  <c r="CD58" i="1"/>
  <c r="D18" i="1" a="1"/>
  <c r="D18" i="1" s="1"/>
  <c r="T18" i="1" a="1"/>
  <c r="T18" i="1" s="1"/>
  <c r="BV18" i="1"/>
  <c r="CA18" i="1"/>
  <c r="CD18" i="1"/>
  <c r="D16" i="1" a="1"/>
  <c r="D16" i="1" s="1"/>
  <c r="T16" i="1" a="1"/>
  <c r="T16" i="1" s="1"/>
  <c r="BV16" i="1"/>
  <c r="CA16" i="1"/>
  <c r="CD16" i="1"/>
  <c r="D22" i="1" a="1"/>
  <c r="D22" i="1" s="1"/>
  <c r="T22" i="1" a="1"/>
  <c r="T22" i="1" s="1"/>
  <c r="BV22" i="1"/>
  <c r="CA22" i="1"/>
  <c r="CD22" i="1"/>
  <c r="D25" i="1" a="1"/>
  <c r="D25" i="1" s="1"/>
  <c r="T25" i="1" a="1"/>
  <c r="T25" i="1" s="1"/>
  <c r="BV25" i="1"/>
  <c r="CA25" i="1"/>
  <c r="CD25" i="1"/>
  <c r="D29" i="1" a="1"/>
  <c r="D29" i="1" s="1"/>
  <c r="T29" i="1" a="1"/>
  <c r="T29" i="1" s="1"/>
  <c r="BV29" i="1"/>
  <c r="CA29" i="1"/>
  <c r="CD29" i="1"/>
  <c r="D26" i="1" a="1"/>
  <c r="D26" i="1" s="1"/>
  <c r="T26" i="1" a="1"/>
  <c r="T26" i="1" s="1"/>
  <c r="BV26" i="1"/>
  <c r="CA26" i="1"/>
  <c r="CD26" i="1"/>
  <c r="D24" i="1" a="1"/>
  <c r="D24" i="1" s="1"/>
  <c r="T24" i="1" a="1"/>
  <c r="T24" i="1" s="1"/>
  <c r="BV24" i="1"/>
  <c r="CA24" i="1"/>
  <c r="CD24" i="1"/>
  <c r="D27" i="1" a="1"/>
  <c r="D27" i="1" s="1"/>
  <c r="T27" i="1" a="1"/>
  <c r="T27" i="1" s="1"/>
  <c r="BV27" i="1"/>
  <c r="CA27" i="1"/>
  <c r="CD27" i="1"/>
  <c r="D19" i="1" a="1"/>
  <c r="D19" i="1" s="1"/>
  <c r="T19" i="1" a="1"/>
  <c r="T19" i="1" s="1"/>
  <c r="BV19" i="1"/>
  <c r="CA19" i="1"/>
  <c r="CD19" i="1"/>
  <c r="D23" i="1" a="1"/>
  <c r="D23" i="1" s="1"/>
  <c r="T23" i="1" a="1"/>
  <c r="T23" i="1" s="1"/>
  <c r="BV23" i="1"/>
  <c r="CA23" i="1"/>
  <c r="CD23" i="1"/>
  <c r="D28" i="1" a="1"/>
  <c r="D28" i="1" s="1"/>
  <c r="T28" i="1" a="1"/>
  <c r="T28" i="1" s="1"/>
  <c r="BV28" i="1"/>
  <c r="CA28" i="1"/>
  <c r="CD28" i="1"/>
  <c r="D20" i="1" a="1"/>
  <c r="D20" i="1" s="1"/>
  <c r="T20" i="1" a="1"/>
  <c r="T20" i="1" s="1"/>
  <c r="BV20" i="1"/>
  <c r="CA20" i="1"/>
  <c r="CD20" i="1"/>
  <c r="D15" i="1" a="1"/>
  <c r="D15" i="1" s="1"/>
  <c r="T15" i="1" a="1"/>
  <c r="T15" i="1" s="1"/>
  <c r="BV15" i="1"/>
  <c r="CA15" i="1"/>
  <c r="CD15" i="1"/>
  <c r="D30" i="1" a="1"/>
  <c r="D30" i="1" s="1"/>
  <c r="T30" i="1" a="1"/>
  <c r="T30" i="1" s="1"/>
  <c r="BV30" i="1"/>
  <c r="CA30" i="1"/>
  <c r="CD30" i="1"/>
  <c r="D51" i="1" a="1"/>
  <c r="D51" i="1" s="1"/>
  <c r="T51" i="1" a="1"/>
  <c r="T51" i="1" s="1"/>
  <c r="BV51" i="1"/>
  <c r="CA51" i="1"/>
  <c r="CD51" i="1"/>
  <c r="D32" i="1" a="1"/>
  <c r="D32" i="1" s="1"/>
  <c r="T32" i="1" a="1"/>
  <c r="T32" i="1" s="1"/>
  <c r="BV32" i="1"/>
  <c r="CA32" i="1"/>
  <c r="CD32" i="1"/>
  <c r="D47" i="1" a="1"/>
  <c r="D47" i="1" s="1"/>
  <c r="T47" i="1" a="1"/>
  <c r="T47" i="1" s="1"/>
  <c r="BV47" i="1"/>
  <c r="CA47" i="1"/>
  <c r="CD47" i="1"/>
  <c r="D33" i="1" a="1"/>
  <c r="D33" i="1" s="1"/>
  <c r="T33" i="1" a="1"/>
  <c r="T33" i="1" s="1"/>
  <c r="BV33" i="1"/>
  <c r="CA33" i="1"/>
  <c r="CD33" i="1"/>
  <c r="D53" i="1" a="1"/>
  <c r="D53" i="1" s="1"/>
  <c r="T53" i="1" a="1"/>
  <c r="T53" i="1" s="1"/>
  <c r="BV53" i="1"/>
  <c r="CA53" i="1"/>
  <c r="CD53" i="1"/>
  <c r="D49" i="1" a="1"/>
  <c r="D49" i="1" s="1"/>
  <c r="T49" i="1" a="1"/>
  <c r="T49" i="1" s="1"/>
  <c r="BV49" i="1"/>
  <c r="CA49" i="1"/>
  <c r="CD49" i="1"/>
  <c r="D52" i="1" a="1"/>
  <c r="D52" i="1" s="1"/>
  <c r="T52" i="1" a="1"/>
  <c r="T52" i="1" s="1"/>
  <c r="BV52" i="1"/>
  <c r="CA52" i="1"/>
  <c r="CD52" i="1"/>
  <c r="D39" i="1" a="1"/>
  <c r="D39" i="1" s="1"/>
  <c r="T39" i="1" a="1"/>
  <c r="T39" i="1" s="1"/>
  <c r="BV39" i="1"/>
  <c r="CA39" i="1"/>
  <c r="CD39" i="1"/>
  <c r="D41" i="1" a="1"/>
  <c r="D41" i="1" s="1"/>
  <c r="T41" i="1" a="1"/>
  <c r="T41" i="1" s="1"/>
  <c r="BV41" i="1"/>
  <c r="CA41" i="1"/>
  <c r="CD41" i="1"/>
  <c r="D36" i="1" a="1"/>
  <c r="D36" i="1" s="1"/>
  <c r="T36" i="1" a="1"/>
  <c r="T36" i="1" s="1"/>
  <c r="BV36" i="1"/>
  <c r="CA36" i="1"/>
  <c r="CD36" i="1"/>
  <c r="D46" i="1" a="1"/>
  <c r="D46" i="1" s="1"/>
  <c r="T46" i="1" a="1"/>
  <c r="T46" i="1" s="1"/>
  <c r="BV46" i="1"/>
  <c r="CA46" i="1"/>
  <c r="CD46" i="1"/>
  <c r="D45" i="1" a="1"/>
  <c r="D45" i="1" s="1"/>
  <c r="T45" i="1" a="1"/>
  <c r="T45" i="1" s="1"/>
  <c r="BV45" i="1"/>
  <c r="CA45" i="1"/>
  <c r="CD45" i="1"/>
  <c r="D43" i="1" a="1"/>
  <c r="D43" i="1" s="1"/>
  <c r="T43" i="1" a="1"/>
  <c r="T43" i="1" s="1"/>
  <c r="BV43" i="1"/>
  <c r="CA43" i="1"/>
  <c r="CD43" i="1"/>
  <c r="D38" i="1" a="1"/>
  <c r="D38" i="1" s="1"/>
  <c r="T38" i="1" a="1"/>
  <c r="T38" i="1" s="1"/>
  <c r="BV38" i="1"/>
  <c r="CA38" i="1"/>
  <c r="CD38" i="1"/>
  <c r="D40" i="1" a="1"/>
  <c r="D40" i="1" s="1"/>
  <c r="T40" i="1" a="1"/>
  <c r="T40" i="1" s="1"/>
  <c r="BV40" i="1"/>
  <c r="CA40" i="1"/>
  <c r="CD40" i="1"/>
  <c r="D44" i="1" a="1"/>
  <c r="D44" i="1" s="1"/>
  <c r="T44" i="1" a="1"/>
  <c r="T44" i="1" s="1"/>
  <c r="BV44" i="1"/>
  <c r="CA44" i="1"/>
  <c r="CD44" i="1"/>
  <c r="D42" i="1" a="1"/>
  <c r="D42" i="1" s="1"/>
  <c r="T42" i="1" a="1"/>
  <c r="T42" i="1" s="1"/>
  <c r="BV42" i="1"/>
  <c r="CA42" i="1"/>
  <c r="CD42" i="1"/>
  <c r="D17" i="1" a="1"/>
  <c r="D17" i="1" s="1"/>
  <c r="T17" i="1" a="1"/>
  <c r="T17" i="1" s="1"/>
  <c r="BV17" i="1"/>
  <c r="CA17" i="1"/>
  <c r="CD17" i="1"/>
  <c r="CD56" i="1"/>
  <c r="CA56" i="1"/>
  <c r="BV56" i="1"/>
  <c r="T56" i="1" a="1"/>
  <c r="T56" i="1" s="1"/>
  <c r="P56" i="1" a="1"/>
  <c r="P56" i="1" s="1"/>
  <c r="Q56" i="1" s="1"/>
  <c r="D56" i="1" a="1"/>
  <c r="D56" i="1" s="1"/>
  <c r="CD14" i="1"/>
  <c r="CA14" i="1"/>
  <c r="BV14" i="1"/>
  <c r="T14" i="1" a="1"/>
  <c r="T14" i="1" s="1"/>
  <c r="P14" i="1" a="1"/>
  <c r="P14" i="1" s="1"/>
  <c r="Q14" i="1" s="1"/>
  <c r="D14" i="1" a="1"/>
  <c r="D14" i="1" s="1"/>
  <c r="CD34" i="1"/>
  <c r="CA34" i="1"/>
  <c r="BV34" i="1"/>
  <c r="T34" i="1" a="1"/>
  <c r="T34" i="1" s="1"/>
  <c r="P34" i="1" a="1"/>
  <c r="P34" i="1" s="1"/>
  <c r="Q34" i="1" s="1"/>
  <c r="D34" i="1" a="1"/>
  <c r="D34" i="1" s="1"/>
  <c r="CD31" i="1"/>
  <c r="CA31" i="1"/>
  <c r="BV31" i="1"/>
  <c r="T31" i="1" a="1"/>
  <c r="T31" i="1" s="1"/>
  <c r="D31" i="1" a="1"/>
  <c r="D31" i="1" s="1"/>
  <c r="CD11" i="1"/>
  <c r="CA11" i="1"/>
  <c r="BV11" i="1"/>
  <c r="T11" i="1" a="1"/>
  <c r="T11" i="1" s="1"/>
  <c r="P11" i="1" a="1"/>
  <c r="P11" i="1" s="1"/>
  <c r="Q11" i="1" s="1"/>
  <c r="D11" i="1" a="1"/>
  <c r="D11" i="1" s="1"/>
  <c r="CD6" i="1"/>
  <c r="CA6" i="1"/>
  <c r="BV6" i="1"/>
  <c r="T6" i="1" a="1"/>
  <c r="T6" i="1" s="1"/>
  <c r="P6" i="1" a="1"/>
  <c r="P6" i="1" s="1"/>
  <c r="Q6" i="1" s="1"/>
  <c r="D6" i="1" a="1"/>
  <c r="D6" i="1" s="1"/>
  <c r="CD10" i="1"/>
  <c r="CA10" i="1"/>
  <c r="BV10" i="1"/>
  <c r="T10" i="1" a="1"/>
  <c r="T10" i="1" s="1"/>
  <c r="D10" i="1" a="1"/>
  <c r="D10" i="1" s="1"/>
  <c r="CD5" i="1"/>
  <c r="CA5" i="1"/>
  <c r="BV5" i="1"/>
  <c r="CD4" i="1"/>
  <c r="CA4" i="1"/>
  <c r="BV4" i="1"/>
  <c r="T4" i="1" a="1"/>
  <c r="T4" i="1" s="1"/>
  <c r="P4" i="1" a="1"/>
  <c r="P4" i="1" s="1"/>
  <c r="D4" i="1" a="1"/>
  <c r="D4" i="1" s="1"/>
  <c r="U54" i="1" a="1"/>
  <c r="BW48" i="1" a="1"/>
  <c r="CE48" i="1" a="1"/>
  <c r="U37" i="1" a="1"/>
  <c r="BW8" i="1" a="1"/>
  <c r="CE59" i="1" a="1"/>
  <c r="BW55" i="1" a="1"/>
  <c r="CB9" i="1" a="1"/>
  <c r="CB37" i="1" a="1"/>
  <c r="CE24" i="1" a="1"/>
  <c r="CE8" i="1" a="1"/>
  <c r="BW59" i="1" a="1"/>
  <c r="CB27" i="1" a="1"/>
  <c r="U15" i="1" a="1"/>
  <c r="U30" i="1" a="1"/>
  <c r="CE30" i="1" a="1"/>
  <c r="CE25" i="1" a="1"/>
  <c r="CB20" i="1" a="1"/>
  <c r="BW24" i="1" a="1"/>
  <c r="CE27" i="1" a="1"/>
  <c r="BW19" i="1" a="1"/>
  <c r="CB35" i="1" a="1"/>
  <c r="CE16" i="1" a="1"/>
  <c r="U58" i="1" a="1"/>
  <c r="CB32" i="1" a="1"/>
  <c r="CB49" i="1" a="1"/>
  <c r="BW16" i="1" a="1"/>
  <c r="BW20" i="1" a="1"/>
  <c r="CB23" i="1" a="1"/>
  <c r="CE23" i="1" a="1"/>
  <c r="CE28" i="1" a="1"/>
  <c r="CE19" i="1" a="1"/>
  <c r="BW30" i="1" a="1"/>
  <c r="U49" i="1" a="1"/>
  <c r="BW25" i="1" a="1"/>
  <c r="U26" i="1" a="1"/>
  <c r="U46" i="1" a="1"/>
  <c r="U45" i="1" a="1"/>
  <c r="CE45" i="1" a="1"/>
  <c r="U17" i="1" a="1"/>
  <c r="CB30" i="1" a="1"/>
  <c r="BW49" i="1" a="1"/>
  <c r="CE42" i="1" a="1"/>
  <c r="CB42" i="1" a="1"/>
  <c r="CB17" i="1" a="1"/>
  <c r="CE20" i="1" a="1"/>
  <c r="CB15" i="1" a="1"/>
  <c r="BW45" i="1" a="1"/>
  <c r="CB38" i="1" a="1"/>
  <c r="CB46" i="1" a="1"/>
  <c r="CE49" i="1" a="1"/>
  <c r="CB45" i="1" a="1"/>
  <c r="CE17" i="1" a="1"/>
  <c r="CE39" i="1" a="1"/>
  <c r="CB33" i="1" a="1"/>
  <c r="U42" i="1" a="1"/>
  <c r="U38" i="1" a="1"/>
  <c r="CE41" i="1" a="1"/>
  <c r="U43" i="1" a="1"/>
  <c r="BW52" i="1" a="1"/>
  <c r="BW10" i="1" a="1"/>
  <c r="CE4" i="1" a="1"/>
  <c r="K43" i="1" l="1"/>
  <c r="K38" i="1"/>
  <c r="K42" i="1"/>
  <c r="K17" i="1"/>
  <c r="K45" i="1"/>
  <c r="K46" i="1"/>
  <c r="K26" i="1"/>
  <c r="K49" i="1"/>
  <c r="K58" i="1"/>
  <c r="K30" i="1"/>
  <c r="K15" i="1"/>
  <c r="K37" i="1"/>
  <c r="K54" i="1"/>
  <c r="U54" i="1"/>
  <c r="H43" i="1"/>
  <c r="H38" i="1"/>
  <c r="H42" i="1"/>
  <c r="H17" i="1"/>
  <c r="H45" i="1"/>
  <c r="H46" i="1"/>
  <c r="H26" i="1"/>
  <c r="H49" i="1"/>
  <c r="H58" i="1"/>
  <c r="H30" i="1"/>
  <c r="H15" i="1"/>
  <c r="H37" i="1"/>
  <c r="B34" i="1"/>
  <c r="B31" i="1"/>
  <c r="B14" i="1"/>
  <c r="BW52" i="1"/>
  <c r="U43" i="1"/>
  <c r="CE41" i="1"/>
  <c r="U38" i="1"/>
  <c r="U42" i="1"/>
  <c r="CB33" i="1"/>
  <c r="CE39" i="1"/>
  <c r="CE17" i="1"/>
  <c r="CB45" i="1"/>
  <c r="CC45" i="1" s="1"/>
  <c r="CE49" i="1"/>
  <c r="CB46" i="1"/>
  <c r="CC46" i="1" s="1"/>
  <c r="CB38" i="1"/>
  <c r="CC38" i="1" s="1"/>
  <c r="BW45" i="1"/>
  <c r="CB15" i="1"/>
  <c r="CC15" i="1" s="1"/>
  <c r="CE20" i="1"/>
  <c r="CB17" i="1"/>
  <c r="CC17" i="1" s="1"/>
  <c r="CB42" i="1"/>
  <c r="CC42" i="1" s="1"/>
  <c r="CE42" i="1"/>
  <c r="BW49" i="1"/>
  <c r="CB30" i="1"/>
  <c r="CC30" i="1" s="1"/>
  <c r="U17" i="1"/>
  <c r="CE45" i="1"/>
  <c r="U45" i="1"/>
  <c r="U46" i="1"/>
  <c r="U26" i="1"/>
  <c r="BW25" i="1"/>
  <c r="U49" i="1"/>
  <c r="BW30" i="1"/>
  <c r="CE19" i="1"/>
  <c r="CE28" i="1"/>
  <c r="CE23" i="1"/>
  <c r="CB23" i="1"/>
  <c r="BW20" i="1"/>
  <c r="BW16" i="1"/>
  <c r="CB49" i="1"/>
  <c r="CC49" i="1" s="1"/>
  <c r="CB32" i="1"/>
  <c r="U58" i="1"/>
  <c r="CE16" i="1"/>
  <c r="CB35" i="1"/>
  <c r="BW19" i="1"/>
  <c r="CE27" i="1"/>
  <c r="BW24" i="1"/>
  <c r="CB20" i="1"/>
  <c r="CE25" i="1"/>
  <c r="CE30" i="1"/>
  <c r="U30" i="1"/>
  <c r="U15" i="1"/>
  <c r="CB27" i="1"/>
  <c r="BW59" i="1"/>
  <c r="CE8" i="1"/>
  <c r="CE24" i="1"/>
  <c r="CB37" i="1"/>
  <c r="CC37" i="1" s="1"/>
  <c r="CB9" i="1"/>
  <c r="BW55" i="1"/>
  <c r="CE59" i="1"/>
  <c r="BW8" i="1"/>
  <c r="U37" i="1"/>
  <c r="CE48" i="1"/>
  <c r="BW48" i="1"/>
  <c r="E42" i="1"/>
  <c r="B44" i="1"/>
  <c r="E38" i="1"/>
  <c r="E46" i="1"/>
  <c r="E41" i="1"/>
  <c r="E52" i="1"/>
  <c r="B40" i="1"/>
  <c r="E36" i="1"/>
  <c r="B39" i="1"/>
  <c r="E32" i="1"/>
  <c r="E33" i="1"/>
  <c r="E44" i="1"/>
  <c r="E39" i="1"/>
  <c r="E47" i="1"/>
  <c r="E43" i="1"/>
  <c r="E49" i="1"/>
  <c r="B38" i="1"/>
  <c r="E45" i="1"/>
  <c r="B41" i="1"/>
  <c r="B42" i="1"/>
  <c r="B43" i="1"/>
  <c r="B36" i="1"/>
  <c r="B52" i="1"/>
  <c r="E17" i="1"/>
  <c r="E40" i="1"/>
  <c r="B12" i="1"/>
  <c r="E53" i="1"/>
  <c r="B51" i="1"/>
  <c r="E20" i="1"/>
  <c r="E28" i="1"/>
  <c r="E18" i="1"/>
  <c r="B33" i="1"/>
  <c r="E30" i="1"/>
  <c r="E19" i="1"/>
  <c r="E51" i="1"/>
  <c r="E15" i="1"/>
  <c r="E23" i="1"/>
  <c r="B24" i="1"/>
  <c r="B25" i="1"/>
  <c r="E16" i="1"/>
  <c r="E13" i="1"/>
  <c r="E29" i="1"/>
  <c r="B22" i="1"/>
  <c r="E27" i="1"/>
  <c r="E24" i="1"/>
  <c r="E25" i="1"/>
  <c r="B7" i="1"/>
  <c r="B19" i="1"/>
  <c r="B35" i="1"/>
  <c r="E26" i="1"/>
  <c r="B29" i="1"/>
  <c r="E22" i="1"/>
  <c r="B16" i="1"/>
  <c r="E58" i="1"/>
  <c r="B13" i="1"/>
  <c r="E9" i="1"/>
  <c r="E55" i="1"/>
  <c r="B18" i="1"/>
  <c r="B50" i="1"/>
  <c r="E57" i="1"/>
  <c r="E35" i="1"/>
  <c r="E37" i="1"/>
  <c r="E7" i="1"/>
  <c r="B59" i="1"/>
  <c r="E50" i="1"/>
  <c r="B21" i="1"/>
  <c r="B8" i="1"/>
  <c r="B54" i="1"/>
  <c r="E12" i="1"/>
  <c r="E48" i="1"/>
  <c r="E59" i="1"/>
  <c r="E21" i="1"/>
  <c r="B57" i="1"/>
  <c r="E8" i="1"/>
  <c r="E54" i="1"/>
  <c r="B55" i="1"/>
  <c r="B9" i="1"/>
  <c r="CE4" i="1"/>
  <c r="BW10" i="1"/>
  <c r="E10" i="1"/>
  <c r="E4" i="1"/>
  <c r="E31" i="1"/>
  <c r="B4" i="1"/>
  <c r="B6" i="1"/>
  <c r="E34" i="1"/>
  <c r="E14" i="1"/>
  <c r="B10" i="1"/>
  <c r="B11" i="1"/>
  <c r="E56" i="1"/>
  <c r="E6" i="1"/>
  <c r="E11" i="1"/>
  <c r="B56" i="1"/>
  <c r="BW36" i="1" a="1"/>
  <c r="CE51" i="1" a="1"/>
  <c r="BW47" i="1" a="1"/>
  <c r="CE47" i="1" a="1"/>
  <c r="U32" i="1" a="1"/>
  <c r="BW23" i="1" a="1"/>
  <c r="CB25" i="1" a="1"/>
  <c r="CB22" i="1" a="1"/>
  <c r="U19" i="1" a="1"/>
  <c r="CB16" i="1" a="1"/>
  <c r="CE37" i="1" a="1"/>
  <c r="U21" i="1" a="1"/>
  <c r="U9" i="1" a="1"/>
  <c r="U40" i="1" a="1"/>
  <c r="CB39" i="1" a="1"/>
  <c r="CB41" i="1" a="1"/>
  <c r="CE36" i="1" a="1"/>
  <c r="U33" i="1" a="1"/>
  <c r="BW32" i="1" a="1"/>
  <c r="U23" i="1" a="1"/>
  <c r="BW26" i="1" a="1"/>
  <c r="BW7" i="1" a="1"/>
  <c r="CB19" i="1" a="1"/>
  <c r="U29" i="1" a="1"/>
  <c r="CB26" i="1" a="1"/>
  <c r="CB21" i="1" a="1"/>
  <c r="CB54" i="1" a="1"/>
  <c r="BW9" i="1" a="1"/>
  <c r="CE44" i="1" a="1"/>
  <c r="BW42" i="1" a="1"/>
  <c r="CB40" i="1" a="1"/>
  <c r="CE43" i="1" a="1"/>
  <c r="BW38" i="1" a="1"/>
  <c r="U12" i="1" a="1"/>
  <c r="U47" i="1" a="1"/>
  <c r="BW51" i="1" a="1"/>
  <c r="CB53" i="1" a="1"/>
  <c r="CE32" i="1" a="1"/>
  <c r="BW27" i="1" a="1"/>
  <c r="CE26" i="1" a="1"/>
  <c r="CE7" i="1" a="1"/>
  <c r="CB29" i="1" a="1"/>
  <c r="BW18" i="1" a="1"/>
  <c r="U50" i="1" a="1"/>
  <c r="BW21" i="1" a="1"/>
  <c r="BW54" i="1" a="1"/>
  <c r="CE55" i="1" a="1"/>
  <c r="CE57" i="1" a="1"/>
  <c r="BW44" i="1" a="1"/>
  <c r="CE40" i="1" a="1"/>
  <c r="CE38" i="1" a="1"/>
  <c r="CB36" i="1" a="1"/>
  <c r="BW12" i="1" a="1"/>
  <c r="CB51" i="1" a="1"/>
  <c r="BW53" i="1" a="1"/>
  <c r="BW15" i="1" a="1"/>
  <c r="BW58" i="1" a="1"/>
  <c r="BW35" i="1" a="1"/>
  <c r="BW29" i="1" a="1"/>
  <c r="U13" i="1" a="1"/>
  <c r="CB58" i="1" a="1"/>
  <c r="CB50" i="1" a="1"/>
  <c r="U59" i="1" a="1"/>
  <c r="CE21" i="1" a="1"/>
  <c r="CE54" i="1" a="1"/>
  <c r="CB48" i="1" a="1"/>
  <c r="CE9" i="1" a="1"/>
  <c r="CB43" i="1" a="1"/>
  <c r="CE12" i="1" a="1"/>
  <c r="BW46" i="1" a="1"/>
  <c r="U24" i="1" a="1"/>
  <c r="CE35" i="1" a="1"/>
  <c r="CE29" i="1" a="1"/>
  <c r="CB13" i="1" a="1"/>
  <c r="BW50" i="1" a="1"/>
  <c r="CB59" i="1" a="1"/>
  <c r="U48" i="1" a="1"/>
  <c r="CE22" i="1" a="1"/>
  <c r="U35" i="1" a="1"/>
  <c r="U18" i="1" a="1"/>
  <c r="U36" i="1" a="1"/>
  <c r="U28" i="1" a="1"/>
  <c r="U44" i="1" a="1"/>
  <c r="BW40" i="1" a="1"/>
  <c r="CE53" i="1" a="1"/>
  <c r="CE15" i="1" a="1"/>
  <c r="BW22" i="1" a="1"/>
  <c r="CE58" i="1" a="1"/>
  <c r="U7" i="1" a="1"/>
  <c r="CB18" i="1" a="1"/>
  <c r="U57" i="1" a="1"/>
  <c r="CB24" i="1" a="1"/>
  <c r="CB7" i="1" a="1"/>
  <c r="CB55" i="1" a="1"/>
  <c r="BW41" i="1" a="1"/>
  <c r="U51" i="1" a="1"/>
  <c r="U22" i="1" a="1"/>
  <c r="U16" i="1" a="1"/>
  <c r="CB44" i="1" a="1"/>
  <c r="U52" i="1" a="1"/>
  <c r="CE46" i="1" a="1"/>
  <c r="U20" i="1" a="1"/>
  <c r="U27" i="1" a="1"/>
  <c r="BW13" i="1" a="1"/>
  <c r="CE50" i="1" a="1"/>
  <c r="U8" i="1" a="1"/>
  <c r="CB57" i="1" a="1"/>
  <c r="CE52" i="1" a="1"/>
  <c r="BW33" i="1" a="1"/>
  <c r="CE33" i="1" a="1"/>
  <c r="BW37" i="1" a="1"/>
  <c r="U39" i="1" a="1"/>
  <c r="U41" i="1" a="1"/>
  <c r="BW43" i="1" a="1"/>
  <c r="CB52" i="1" a="1"/>
  <c r="CB12" i="1" a="1"/>
  <c r="CB47" i="1" a="1"/>
  <c r="BW28" i="1" a="1"/>
  <c r="CB28" i="1" a="1"/>
  <c r="CE13" i="1" a="1"/>
  <c r="CE18" i="1" a="1"/>
  <c r="CB8" i="1" a="1"/>
  <c r="BW57" i="1" a="1"/>
  <c r="U55" i="1" a="1"/>
  <c r="BW17" i="1" a="1"/>
  <c r="BW39" i="1" a="1"/>
  <c r="U53" i="1" a="1"/>
  <c r="U25" i="1" a="1"/>
  <c r="U31" i="1" a="1"/>
  <c r="BW4" i="1" a="1"/>
  <c r="U11" i="1" a="1"/>
  <c r="CB56" i="1" a="1"/>
  <c r="CB14" i="1" a="1"/>
  <c r="U34" i="1" a="1"/>
  <c r="BW11" i="1" a="1"/>
  <c r="CE6" i="1" a="1"/>
  <c r="CE14" i="1" a="1"/>
  <c r="U56" i="1" a="1"/>
  <c r="CE10" i="1" a="1"/>
  <c r="BW34" i="1" a="1"/>
  <c r="CE34" i="1" a="1"/>
  <c r="CB6" i="1" a="1"/>
  <c r="U6" i="1" a="1"/>
  <c r="BW56" i="1" a="1"/>
  <c r="CB31" i="1" a="1"/>
  <c r="CB4" i="1" a="1"/>
  <c r="CB34" i="1" a="1"/>
  <c r="CB10" i="1" a="1"/>
  <c r="CB11" i="1" a="1"/>
  <c r="CE31" i="1" a="1"/>
  <c r="BW6" i="1" a="1"/>
  <c r="BW31" i="1" a="1"/>
  <c r="CE11" i="1" a="1"/>
  <c r="U14" i="1" a="1"/>
  <c r="BW14" i="1" a="1"/>
  <c r="U4" i="1" a="1"/>
  <c r="U10" i="1" a="1"/>
  <c r="CE56" i="1" a="1"/>
  <c r="K4" i="1" l="1"/>
  <c r="K10" i="1"/>
  <c r="K14" i="1"/>
  <c r="K6" i="1"/>
  <c r="K56" i="1"/>
  <c r="K34" i="1"/>
  <c r="K11" i="1"/>
  <c r="K31" i="1"/>
  <c r="K25" i="1"/>
  <c r="K53" i="1"/>
  <c r="K55" i="1"/>
  <c r="K41" i="1"/>
  <c r="K39" i="1"/>
  <c r="K8" i="1"/>
  <c r="K27" i="1"/>
  <c r="K20" i="1"/>
  <c r="K52" i="1"/>
  <c r="K16" i="1"/>
  <c r="K22" i="1"/>
  <c r="K51" i="1"/>
  <c r="K57" i="1"/>
  <c r="K7" i="1"/>
  <c r="K44" i="1"/>
  <c r="K28" i="1"/>
  <c r="K36" i="1"/>
  <c r="K18" i="1"/>
  <c r="K35" i="1"/>
  <c r="K48" i="1"/>
  <c r="K24" i="1"/>
  <c r="K59" i="1"/>
  <c r="K13" i="1"/>
  <c r="K50" i="1"/>
  <c r="K47" i="1"/>
  <c r="K12" i="1"/>
  <c r="K29" i="1"/>
  <c r="K23" i="1"/>
  <c r="K33" i="1"/>
  <c r="K40" i="1"/>
  <c r="K9" i="1"/>
  <c r="K21" i="1"/>
  <c r="K19" i="1"/>
  <c r="K32" i="1"/>
  <c r="H10" i="1"/>
  <c r="H14" i="1"/>
  <c r="H56" i="1"/>
  <c r="H34" i="1"/>
  <c r="H11" i="1"/>
  <c r="H31" i="1"/>
  <c r="H25" i="1"/>
  <c r="H53" i="1"/>
  <c r="H55" i="1"/>
  <c r="H41" i="1"/>
  <c r="H39" i="1"/>
  <c r="H8" i="1"/>
  <c r="H27" i="1"/>
  <c r="H20" i="1"/>
  <c r="H52" i="1"/>
  <c r="H16" i="1"/>
  <c r="H22" i="1"/>
  <c r="H51" i="1"/>
  <c r="H57" i="1"/>
  <c r="H7" i="1"/>
  <c r="H44" i="1"/>
  <c r="H28" i="1"/>
  <c r="H36" i="1"/>
  <c r="H18" i="1"/>
  <c r="H35" i="1"/>
  <c r="H48" i="1"/>
  <c r="H24" i="1"/>
  <c r="H59" i="1"/>
  <c r="H13" i="1"/>
  <c r="H50" i="1"/>
  <c r="H47" i="1"/>
  <c r="H12" i="1"/>
  <c r="H29" i="1"/>
  <c r="H23" i="1"/>
  <c r="H33" i="1"/>
  <c r="H40" i="1"/>
  <c r="H9" i="1"/>
  <c r="H54" i="1"/>
  <c r="H21" i="1"/>
  <c r="H19" i="1"/>
  <c r="H32" i="1"/>
  <c r="H6" i="1"/>
  <c r="BJ43" i="1"/>
  <c r="BC43" i="1"/>
  <c r="BR43" i="1"/>
  <c r="BG38" i="1"/>
  <c r="BL38" i="1"/>
  <c r="BD42" i="1"/>
  <c r="BK42" i="1"/>
  <c r="BQ42" i="1"/>
  <c r="BF17" i="1"/>
  <c r="BT17" i="1"/>
  <c r="AY45" i="1"/>
  <c r="BF45" i="1"/>
  <c r="BH45" i="1"/>
  <c r="BR46" i="1"/>
  <c r="BE46" i="1"/>
  <c r="BC46" i="1"/>
  <c r="BQ26" i="1"/>
  <c r="BT26" i="1"/>
  <c r="BG26" i="1"/>
  <c r="AZ26" i="1"/>
  <c r="BQ49" i="1"/>
  <c r="BR49" i="1"/>
  <c r="BL49" i="1"/>
  <c r="BF58" i="1"/>
  <c r="BP58" i="1"/>
  <c r="BR58" i="1"/>
  <c r="BB30" i="1"/>
  <c r="BR30" i="1"/>
  <c r="BF15" i="1"/>
  <c r="AZ15" i="1"/>
  <c r="BP15" i="1"/>
  <c r="BD37" i="1"/>
  <c r="BN37" i="1"/>
  <c r="BA37" i="1"/>
  <c r="AZ43" i="1"/>
  <c r="BS43" i="1"/>
  <c r="BF43" i="1"/>
  <c r="BB43" i="1"/>
  <c r="BP38" i="1"/>
  <c r="BE38" i="1"/>
  <c r="AW38" i="1"/>
  <c r="BL42" i="1"/>
  <c r="AZ42" i="1"/>
  <c r="BG42" i="1"/>
  <c r="AY42" i="1"/>
  <c r="BA17" i="1"/>
  <c r="BP17" i="1"/>
  <c r="AY17" i="1"/>
  <c r="BG45" i="1"/>
  <c r="BB45" i="1"/>
  <c r="BP45" i="1"/>
  <c r="BL45" i="1"/>
  <c r="BO46" i="1"/>
  <c r="AW26" i="1"/>
  <c r="BO26" i="1"/>
  <c r="BE49" i="1"/>
  <c r="AW49" i="1"/>
  <c r="BB49" i="1"/>
  <c r="BC58" i="1"/>
  <c r="BN58" i="1"/>
  <c r="BA58" i="1"/>
  <c r="BT58" i="1"/>
  <c r="BK30" i="1"/>
  <c r="BE30" i="1"/>
  <c r="AW30" i="1"/>
  <c r="BN15" i="1"/>
  <c r="BD15" i="1"/>
  <c r="BI15" i="1"/>
  <c r="BS15" i="1"/>
  <c r="BL37" i="1"/>
  <c r="AY37" i="1"/>
  <c r="BI37" i="1"/>
  <c r="BH43" i="1"/>
  <c r="BI43" i="1"/>
  <c r="BT43" i="1"/>
  <c r="AZ38" i="1"/>
  <c r="BN38" i="1"/>
  <c r="BO38" i="1"/>
  <c r="BT42" i="1"/>
  <c r="BM42" i="1"/>
  <c r="BR42" i="1"/>
  <c r="BJ42" i="1"/>
  <c r="BI17" i="1"/>
  <c r="AW17" i="1"/>
  <c r="BJ17" i="1"/>
  <c r="BO45" i="1"/>
  <c r="BK45" i="1"/>
  <c r="BQ45" i="1"/>
  <c r="BM45" i="1"/>
  <c r="BA46" i="1"/>
  <c r="AW46" i="1"/>
  <c r="BD46" i="1"/>
  <c r="BE26" i="1"/>
  <c r="BB26" i="1"/>
  <c r="AX49" i="1"/>
  <c r="BO49" i="1"/>
  <c r="BH49" i="1"/>
  <c r="BM49" i="1"/>
  <c r="BK58" i="1"/>
  <c r="AY58" i="1"/>
  <c r="BI58" i="1"/>
  <c r="BT30" i="1"/>
  <c r="BN30" i="1"/>
  <c r="BA30" i="1"/>
  <c r="BB15" i="1"/>
  <c r="BM15" i="1"/>
  <c r="BR15" i="1"/>
  <c r="BT37" i="1"/>
  <c r="BG37" i="1"/>
  <c r="BQ37" i="1"/>
  <c r="BP43" i="1"/>
  <c r="BK43" i="1"/>
  <c r="BJ38" i="1"/>
  <c r="AY38" i="1"/>
  <c r="BA42" i="1"/>
  <c r="AW42" i="1"/>
  <c r="BQ17" i="1"/>
  <c r="BG17" i="1"/>
  <c r="AZ17" i="1"/>
  <c r="AZ45" i="1"/>
  <c r="BT45" i="1"/>
  <c r="AX46" i="1"/>
  <c r="BJ46" i="1"/>
  <c r="BG46" i="1"/>
  <c r="BH46" i="1"/>
  <c r="BC26" i="1"/>
  <c r="BM26" i="1"/>
  <c r="BH26" i="1"/>
  <c r="BC49" i="1"/>
  <c r="BS49" i="1"/>
  <c r="BD49" i="1"/>
  <c r="BS58" i="1"/>
  <c r="BG58" i="1"/>
  <c r="BQ58" i="1"/>
  <c r="BC30" i="1"/>
  <c r="AX30" i="1"/>
  <c r="BF30" i="1"/>
  <c r="BK15" i="1"/>
  <c r="BE15" i="1"/>
  <c r="AW15" i="1"/>
  <c r="AW37" i="1"/>
  <c r="BO37" i="1"/>
  <c r="BB37" i="1"/>
  <c r="AX43" i="1"/>
  <c r="BD43" i="1"/>
  <c r="BL43" i="1"/>
  <c r="BA38" i="1"/>
  <c r="BS38" i="1"/>
  <c r="BC38" i="1"/>
  <c r="BR38" i="1"/>
  <c r="BE42" i="1"/>
  <c r="BO42" i="1"/>
  <c r="BH42" i="1"/>
  <c r="BD17" i="1"/>
  <c r="BR17" i="1"/>
  <c r="BL17" i="1"/>
  <c r="BI45" i="1"/>
  <c r="BS45" i="1"/>
  <c r="BF46" i="1"/>
  <c r="BS46" i="1"/>
  <c r="BP46" i="1"/>
  <c r="BL46" i="1"/>
  <c r="BK26" i="1"/>
  <c r="AX26" i="1"/>
  <c r="BK49" i="1"/>
  <c r="BF49" i="1"/>
  <c r="AY49" i="1"/>
  <c r="BN49" i="1"/>
  <c r="AW58" i="1"/>
  <c r="BO58" i="1"/>
  <c r="BB58" i="1"/>
  <c r="AY30" i="1"/>
  <c r="BL30" i="1"/>
  <c r="BH30" i="1"/>
  <c r="BJ30" i="1"/>
  <c r="BT15" i="1"/>
  <c r="BO15" i="1"/>
  <c r="BA15" i="1"/>
  <c r="BE37" i="1"/>
  <c r="BJ37" i="1"/>
  <c r="BG43" i="1"/>
  <c r="BM43" i="1"/>
  <c r="AW43" i="1"/>
  <c r="BI38" i="1"/>
  <c r="BF38" i="1"/>
  <c r="BB38" i="1"/>
  <c r="BN42" i="1"/>
  <c r="BC42" i="1"/>
  <c r="BS42" i="1"/>
  <c r="BC17" i="1"/>
  <c r="BN17" i="1"/>
  <c r="BB17" i="1"/>
  <c r="BR45" i="1"/>
  <c r="BE45" i="1"/>
  <c r="AX45" i="1"/>
  <c r="BN46" i="1"/>
  <c r="BB46" i="1"/>
  <c r="BQ46" i="1"/>
  <c r="BM46" i="1"/>
  <c r="BS26" i="1"/>
  <c r="BF26" i="1"/>
  <c r="BJ26" i="1"/>
  <c r="BP49" i="1"/>
  <c r="BJ49" i="1"/>
  <c r="BE58" i="1"/>
  <c r="BD58" i="1"/>
  <c r="BG30" i="1"/>
  <c r="BQ30" i="1"/>
  <c r="BP30" i="1"/>
  <c r="BC15" i="1"/>
  <c r="AY15" i="1"/>
  <c r="BG15" i="1"/>
  <c r="BC37" i="1"/>
  <c r="BM37" i="1"/>
  <c r="AZ37" i="1"/>
  <c r="BR37" i="1"/>
  <c r="BQ43" i="1"/>
  <c r="BE43" i="1"/>
  <c r="BO43" i="1"/>
  <c r="BQ38" i="1"/>
  <c r="BD38" i="1"/>
  <c r="BH38" i="1"/>
  <c r="BT38" i="1"/>
  <c r="BP42" i="1"/>
  <c r="AX42" i="1"/>
  <c r="BK17" i="1"/>
  <c r="BE17" i="1"/>
  <c r="AX17" i="1"/>
  <c r="BM17" i="1"/>
  <c r="BA45" i="1"/>
  <c r="BN45" i="1"/>
  <c r="BC45" i="1"/>
  <c r="AZ46" i="1"/>
  <c r="BK46" i="1"/>
  <c r="BA26" i="1"/>
  <c r="BD26" i="1"/>
  <c r="BN26" i="1"/>
  <c r="BP26" i="1"/>
  <c r="BA49" i="1"/>
  <c r="BT49" i="1"/>
  <c r="BM58" i="1"/>
  <c r="AZ58" i="1"/>
  <c r="BJ58" i="1"/>
  <c r="BO30" i="1"/>
  <c r="BD30" i="1"/>
  <c r="AZ30" i="1"/>
  <c r="BS30" i="1"/>
  <c r="BL15" i="1"/>
  <c r="BH15" i="1"/>
  <c r="BK37" i="1"/>
  <c r="AX37" i="1"/>
  <c r="BH37" i="1"/>
  <c r="BA43" i="1"/>
  <c r="BN43" i="1"/>
  <c r="AY43" i="1"/>
  <c r="AX38" i="1"/>
  <c r="BM38" i="1"/>
  <c r="BK38" i="1"/>
  <c r="BB42" i="1"/>
  <c r="BF42" i="1"/>
  <c r="BI42" i="1"/>
  <c r="BS17" i="1"/>
  <c r="BO17" i="1"/>
  <c r="BH17" i="1"/>
  <c r="BJ45" i="1"/>
  <c r="AW45" i="1"/>
  <c r="BD45" i="1"/>
  <c r="BI46" i="1"/>
  <c r="BT46" i="1"/>
  <c r="AY46" i="1"/>
  <c r="BI26" i="1"/>
  <c r="BL26" i="1"/>
  <c r="AY26" i="1"/>
  <c r="BR26" i="1"/>
  <c r="BI49" i="1"/>
  <c r="BG49" i="1"/>
  <c r="AZ49" i="1"/>
  <c r="AX58" i="1"/>
  <c r="BH58" i="1"/>
  <c r="BL58" i="1"/>
  <c r="BM30" i="1"/>
  <c r="BI30" i="1"/>
  <c r="AX15" i="1"/>
  <c r="BQ15" i="1"/>
  <c r="BJ15" i="1"/>
  <c r="BS37" i="1"/>
  <c r="BF37" i="1"/>
  <c r="BP37" i="1"/>
  <c r="AY25" i="1"/>
  <c r="BG25" i="1"/>
  <c r="BO25" i="1"/>
  <c r="BA25" i="1"/>
  <c r="BI25" i="1"/>
  <c r="BQ25" i="1"/>
  <c r="BB25" i="1"/>
  <c r="BJ25" i="1"/>
  <c r="BR25" i="1"/>
  <c r="U25" i="1"/>
  <c r="BC25" i="1"/>
  <c r="BK25" i="1"/>
  <c r="BS25" i="1"/>
  <c r="BD25" i="1"/>
  <c r="BL25" i="1"/>
  <c r="BT25" i="1"/>
  <c r="AW25" i="1"/>
  <c r="BE25" i="1"/>
  <c r="BM25" i="1"/>
  <c r="AX25" i="1"/>
  <c r="AZ25" i="1"/>
  <c r="BF25" i="1"/>
  <c r="BH25" i="1"/>
  <c r="BN25" i="1"/>
  <c r="BP25" i="1"/>
  <c r="AW53" i="1"/>
  <c r="BE53" i="1"/>
  <c r="BM53" i="1"/>
  <c r="AX53" i="1"/>
  <c r="BG53" i="1"/>
  <c r="BP53" i="1"/>
  <c r="AZ53" i="1"/>
  <c r="BI53" i="1"/>
  <c r="BR53" i="1"/>
  <c r="U53" i="1"/>
  <c r="BD53" i="1"/>
  <c r="BN53" i="1"/>
  <c r="AY53" i="1"/>
  <c r="BL53" i="1"/>
  <c r="BA53" i="1"/>
  <c r="BO53" i="1"/>
  <c r="BB53" i="1"/>
  <c r="BQ53" i="1"/>
  <c r="BC53" i="1"/>
  <c r="BS53" i="1"/>
  <c r="BF53" i="1"/>
  <c r="BT53" i="1"/>
  <c r="BH53" i="1"/>
  <c r="BJ53" i="1"/>
  <c r="BK53" i="1"/>
  <c r="BW39" i="1"/>
  <c r="BW17" i="1"/>
  <c r="AW55" i="1"/>
  <c r="BE55" i="1"/>
  <c r="BM55" i="1"/>
  <c r="AX55" i="1"/>
  <c r="BF55" i="1"/>
  <c r="BN55" i="1"/>
  <c r="AY55" i="1"/>
  <c r="BG55" i="1"/>
  <c r="BO55" i="1"/>
  <c r="AZ55" i="1"/>
  <c r="BH55" i="1"/>
  <c r="BP55" i="1"/>
  <c r="BA55" i="1"/>
  <c r="BI55" i="1"/>
  <c r="BQ55" i="1"/>
  <c r="BB55" i="1"/>
  <c r="BJ55" i="1"/>
  <c r="BR55" i="1"/>
  <c r="U55" i="1"/>
  <c r="BC55" i="1"/>
  <c r="BK55" i="1"/>
  <c r="BS55" i="1"/>
  <c r="BD55" i="1"/>
  <c r="BL55" i="1"/>
  <c r="BT55" i="1"/>
  <c r="BW57" i="1"/>
  <c r="CB8" i="1"/>
  <c r="CC8" i="1" s="1"/>
  <c r="CE18" i="1"/>
  <c r="CE13" i="1"/>
  <c r="CB28" i="1"/>
  <c r="CC28" i="1" s="1"/>
  <c r="BW28" i="1"/>
  <c r="CB47" i="1"/>
  <c r="CC47" i="1" s="1"/>
  <c r="CB12" i="1"/>
  <c r="CC12" i="1" s="1"/>
  <c r="CB52" i="1"/>
  <c r="CC52" i="1" s="1"/>
  <c r="BW43" i="1"/>
  <c r="BD41" i="1"/>
  <c r="BL41" i="1"/>
  <c r="BT41" i="1"/>
  <c r="BC41" i="1"/>
  <c r="BM41" i="1"/>
  <c r="U41" i="1"/>
  <c r="BE41" i="1"/>
  <c r="BN41" i="1"/>
  <c r="AW41" i="1"/>
  <c r="BF41" i="1"/>
  <c r="BO41" i="1"/>
  <c r="AY41" i="1"/>
  <c r="BH41" i="1"/>
  <c r="BQ41" i="1"/>
  <c r="AZ41" i="1"/>
  <c r="BI41" i="1"/>
  <c r="BR41" i="1"/>
  <c r="BA41" i="1"/>
  <c r="BJ41" i="1"/>
  <c r="BS41" i="1"/>
  <c r="BK41" i="1"/>
  <c r="BP41" i="1"/>
  <c r="AX41" i="1"/>
  <c r="BB41" i="1"/>
  <c r="BG41" i="1"/>
  <c r="U39" i="1"/>
  <c r="BC39" i="1"/>
  <c r="BK39" i="1"/>
  <c r="BS39" i="1"/>
  <c r="BD39" i="1"/>
  <c r="BM39" i="1"/>
  <c r="BE39" i="1"/>
  <c r="BN39" i="1"/>
  <c r="AW39" i="1"/>
  <c r="BF39" i="1"/>
  <c r="BO39" i="1"/>
  <c r="AX39" i="1"/>
  <c r="BG39" i="1"/>
  <c r="BP39" i="1"/>
  <c r="AY39" i="1"/>
  <c r="BH39" i="1"/>
  <c r="BQ39" i="1"/>
  <c r="AZ39" i="1"/>
  <c r="BI39" i="1"/>
  <c r="BR39" i="1"/>
  <c r="BA39" i="1"/>
  <c r="BJ39" i="1"/>
  <c r="BT39" i="1"/>
  <c r="BB39" i="1"/>
  <c r="BL39" i="1"/>
  <c r="BW37" i="1"/>
  <c r="CE33" i="1"/>
  <c r="BW33" i="1"/>
  <c r="CE52" i="1"/>
  <c r="CB57" i="1"/>
  <c r="CC57" i="1" s="1"/>
  <c r="AY8" i="1"/>
  <c r="BG8" i="1"/>
  <c r="BO8" i="1"/>
  <c r="AZ8" i="1"/>
  <c r="BH8" i="1"/>
  <c r="BP8" i="1"/>
  <c r="BA8" i="1"/>
  <c r="BI8" i="1"/>
  <c r="BQ8" i="1"/>
  <c r="BB8" i="1"/>
  <c r="BJ8" i="1"/>
  <c r="BR8" i="1"/>
  <c r="U8" i="1"/>
  <c r="BC8" i="1"/>
  <c r="BK8" i="1"/>
  <c r="BS8" i="1"/>
  <c r="BD8" i="1"/>
  <c r="BL8" i="1"/>
  <c r="BT8" i="1"/>
  <c r="AW8" i="1"/>
  <c r="BE8" i="1"/>
  <c r="BM8" i="1"/>
  <c r="AX8" i="1"/>
  <c r="BF8" i="1"/>
  <c r="BN8" i="1"/>
  <c r="CE50" i="1"/>
  <c r="BW13" i="1"/>
  <c r="AW27" i="1"/>
  <c r="BE27" i="1"/>
  <c r="BM27" i="1"/>
  <c r="AZ27" i="1"/>
  <c r="BH27" i="1"/>
  <c r="BP27" i="1"/>
  <c r="BA27" i="1"/>
  <c r="BI27" i="1"/>
  <c r="BQ27" i="1"/>
  <c r="BB27" i="1"/>
  <c r="BN27" i="1"/>
  <c r="BC27" i="1"/>
  <c r="BO27" i="1"/>
  <c r="BD27" i="1"/>
  <c r="BR27" i="1"/>
  <c r="BF27" i="1"/>
  <c r="BS27" i="1"/>
  <c r="U27" i="1"/>
  <c r="BG27" i="1"/>
  <c r="BT27" i="1"/>
  <c r="BJ27" i="1"/>
  <c r="AX27" i="1"/>
  <c r="BK27" i="1"/>
  <c r="AY27" i="1"/>
  <c r="BL27" i="1"/>
  <c r="AW20" i="1"/>
  <c r="BE20" i="1"/>
  <c r="BM20" i="1"/>
  <c r="BF20" i="1"/>
  <c r="BO20" i="1"/>
  <c r="AX20" i="1"/>
  <c r="BG20" i="1"/>
  <c r="BP20" i="1"/>
  <c r="AY20" i="1"/>
  <c r="BH20" i="1"/>
  <c r="BQ20" i="1"/>
  <c r="AZ20" i="1"/>
  <c r="BI20" i="1"/>
  <c r="BR20" i="1"/>
  <c r="BB20" i="1"/>
  <c r="BK20" i="1"/>
  <c r="BT20" i="1"/>
  <c r="BC20" i="1"/>
  <c r="BL20" i="1"/>
  <c r="BN20" i="1"/>
  <c r="BS20" i="1"/>
  <c r="U20" i="1"/>
  <c r="BA20" i="1"/>
  <c r="BD20" i="1"/>
  <c r="BJ20" i="1"/>
  <c r="CE46" i="1"/>
  <c r="BB52" i="1"/>
  <c r="BJ52" i="1"/>
  <c r="BR52" i="1"/>
  <c r="BE52" i="1"/>
  <c r="BN52" i="1"/>
  <c r="AW52" i="1"/>
  <c r="BF52" i="1"/>
  <c r="BO52" i="1"/>
  <c r="AX52" i="1"/>
  <c r="BG52" i="1"/>
  <c r="BP52" i="1"/>
  <c r="AY52" i="1"/>
  <c r="BH52" i="1"/>
  <c r="BQ52" i="1"/>
  <c r="AZ52" i="1"/>
  <c r="BI52" i="1"/>
  <c r="BS52" i="1"/>
  <c r="BA52" i="1"/>
  <c r="BK52" i="1"/>
  <c r="BT52" i="1"/>
  <c r="BC52" i="1"/>
  <c r="BL52" i="1"/>
  <c r="U52" i="1"/>
  <c r="BD52" i="1"/>
  <c r="BM52" i="1"/>
  <c r="CB44" i="1"/>
  <c r="CC44" i="1" s="1"/>
  <c r="AW16" i="1"/>
  <c r="BE16" i="1"/>
  <c r="BM16" i="1"/>
  <c r="AY16" i="1"/>
  <c r="BG16" i="1"/>
  <c r="BO16" i="1"/>
  <c r="AZ16" i="1"/>
  <c r="BH16" i="1"/>
  <c r="BP16" i="1"/>
  <c r="BA16" i="1"/>
  <c r="BI16" i="1"/>
  <c r="BQ16" i="1"/>
  <c r="BB16" i="1"/>
  <c r="BJ16" i="1"/>
  <c r="BR16" i="1"/>
  <c r="U16" i="1"/>
  <c r="BC16" i="1"/>
  <c r="BK16" i="1"/>
  <c r="BS16" i="1"/>
  <c r="BN16" i="1"/>
  <c r="BT16" i="1"/>
  <c r="AX16" i="1"/>
  <c r="BD16" i="1"/>
  <c r="BF16" i="1"/>
  <c r="BL16" i="1"/>
  <c r="AX22" i="1"/>
  <c r="BF22" i="1"/>
  <c r="BN22" i="1"/>
  <c r="AZ22" i="1"/>
  <c r="BH22" i="1"/>
  <c r="BP22" i="1"/>
  <c r="BA22" i="1"/>
  <c r="BI22" i="1"/>
  <c r="BQ22" i="1"/>
  <c r="BB22" i="1"/>
  <c r="BJ22" i="1"/>
  <c r="BR22" i="1"/>
  <c r="U22" i="1"/>
  <c r="BC22" i="1"/>
  <c r="BK22" i="1"/>
  <c r="BS22" i="1"/>
  <c r="BD22" i="1"/>
  <c r="BL22" i="1"/>
  <c r="BT22" i="1"/>
  <c r="AW22" i="1"/>
  <c r="AY22" i="1"/>
  <c r="BE22" i="1"/>
  <c r="BG22" i="1"/>
  <c r="BM22" i="1"/>
  <c r="BO22" i="1"/>
  <c r="AZ51" i="1"/>
  <c r="BH51" i="1"/>
  <c r="BP51" i="1"/>
  <c r="BA51" i="1"/>
  <c r="BJ51" i="1"/>
  <c r="BS51" i="1"/>
  <c r="BC51" i="1"/>
  <c r="BL51" i="1"/>
  <c r="U51" i="1"/>
  <c r="BD51" i="1"/>
  <c r="BM51" i="1"/>
  <c r="AX51" i="1"/>
  <c r="BG51" i="1"/>
  <c r="BQ51" i="1"/>
  <c r="BK51" i="1"/>
  <c r="BN51" i="1"/>
  <c r="AW51" i="1"/>
  <c r="BO51" i="1"/>
  <c r="AY51" i="1"/>
  <c r="BR51" i="1"/>
  <c r="BB51" i="1"/>
  <c r="BT51" i="1"/>
  <c r="BE51" i="1"/>
  <c r="BF51" i="1"/>
  <c r="BI51" i="1"/>
  <c r="BW41" i="1"/>
  <c r="CB55" i="1"/>
  <c r="CC55" i="1" s="1"/>
  <c r="CB7" i="1"/>
  <c r="CC7" i="1" s="1"/>
  <c r="CB24" i="1"/>
  <c r="CC24" i="1" s="1"/>
  <c r="AZ57" i="1"/>
  <c r="BH57" i="1"/>
  <c r="BP57" i="1"/>
  <c r="BA57" i="1"/>
  <c r="BI57" i="1"/>
  <c r="BQ57" i="1"/>
  <c r="BB57" i="1"/>
  <c r="BJ57" i="1"/>
  <c r="BR57" i="1"/>
  <c r="U57" i="1"/>
  <c r="BC57" i="1"/>
  <c r="BK57" i="1"/>
  <c r="BS57" i="1"/>
  <c r="BD57" i="1"/>
  <c r="BL57" i="1"/>
  <c r="BT57" i="1"/>
  <c r="AW57" i="1"/>
  <c r="BE57" i="1"/>
  <c r="BM57" i="1"/>
  <c r="AX57" i="1"/>
  <c r="BF57" i="1"/>
  <c r="BN57" i="1"/>
  <c r="AY57" i="1"/>
  <c r="BG57" i="1"/>
  <c r="BO57" i="1"/>
  <c r="CB18" i="1"/>
  <c r="CC18" i="1" s="1"/>
  <c r="AW7" i="1"/>
  <c r="BE7" i="1"/>
  <c r="BM7" i="1"/>
  <c r="AX7" i="1"/>
  <c r="BF7" i="1"/>
  <c r="BN7" i="1"/>
  <c r="BA7" i="1"/>
  <c r="BI7" i="1"/>
  <c r="BQ7" i="1"/>
  <c r="BB7" i="1"/>
  <c r="BJ7" i="1"/>
  <c r="BR7" i="1"/>
  <c r="U7" i="1"/>
  <c r="BC7" i="1"/>
  <c r="BK7" i="1"/>
  <c r="BS7" i="1"/>
  <c r="BO7" i="1"/>
  <c r="BP7" i="1"/>
  <c r="AY7" i="1"/>
  <c r="BT7" i="1"/>
  <c r="AZ7" i="1"/>
  <c r="BD7" i="1"/>
  <c r="BG7" i="1"/>
  <c r="BH7" i="1"/>
  <c r="BL7" i="1"/>
  <c r="CE58" i="1"/>
  <c r="BW22" i="1"/>
  <c r="CE15" i="1"/>
  <c r="CE53" i="1"/>
  <c r="BW40" i="1"/>
  <c r="U44" i="1"/>
  <c r="BC44" i="1"/>
  <c r="BK44" i="1"/>
  <c r="BS44" i="1"/>
  <c r="BE44" i="1"/>
  <c r="BN44" i="1"/>
  <c r="AX44" i="1"/>
  <c r="BA44" i="1"/>
  <c r="BJ44" i="1"/>
  <c r="BT44" i="1"/>
  <c r="BB44" i="1"/>
  <c r="BL44" i="1"/>
  <c r="BF44" i="1"/>
  <c r="BR44" i="1"/>
  <c r="BG44" i="1"/>
  <c r="BH44" i="1"/>
  <c r="BI44" i="1"/>
  <c r="AW44" i="1"/>
  <c r="BM44" i="1"/>
  <c r="AY44" i="1"/>
  <c r="BO44" i="1"/>
  <c r="AZ44" i="1"/>
  <c r="BP44" i="1"/>
  <c r="BD44" i="1"/>
  <c r="BQ44" i="1"/>
  <c r="BD28" i="1"/>
  <c r="BL28" i="1"/>
  <c r="BT28" i="1"/>
  <c r="AW28" i="1"/>
  <c r="BF28" i="1"/>
  <c r="BO28" i="1"/>
  <c r="AX28" i="1"/>
  <c r="BG28" i="1"/>
  <c r="BP28" i="1"/>
  <c r="AY28" i="1"/>
  <c r="BH28" i="1"/>
  <c r="BQ28" i="1"/>
  <c r="AZ28" i="1"/>
  <c r="BI28" i="1"/>
  <c r="BR28" i="1"/>
  <c r="BB28" i="1"/>
  <c r="BK28" i="1"/>
  <c r="BC28" i="1"/>
  <c r="BM28" i="1"/>
  <c r="BS28" i="1"/>
  <c r="U28" i="1"/>
  <c r="BA28" i="1"/>
  <c r="BE28" i="1"/>
  <c r="BJ28" i="1"/>
  <c r="BN28" i="1"/>
  <c r="AW36" i="1"/>
  <c r="BE36" i="1"/>
  <c r="BM36" i="1"/>
  <c r="BC36" i="1"/>
  <c r="BL36" i="1"/>
  <c r="U36" i="1"/>
  <c r="BD36" i="1"/>
  <c r="BN36" i="1"/>
  <c r="BF36" i="1"/>
  <c r="BO36" i="1"/>
  <c r="AY36" i="1"/>
  <c r="BH36" i="1"/>
  <c r="BQ36" i="1"/>
  <c r="AZ36" i="1"/>
  <c r="BI36" i="1"/>
  <c r="BR36" i="1"/>
  <c r="BA36" i="1"/>
  <c r="BJ36" i="1"/>
  <c r="BS36" i="1"/>
  <c r="BP36" i="1"/>
  <c r="BT36" i="1"/>
  <c r="AX36" i="1"/>
  <c r="BB36" i="1"/>
  <c r="BG36" i="1"/>
  <c r="BK36" i="1"/>
  <c r="BD18" i="1"/>
  <c r="BL18" i="1"/>
  <c r="BT18" i="1"/>
  <c r="AX18" i="1"/>
  <c r="BF18" i="1"/>
  <c r="BN18" i="1"/>
  <c r="AY18" i="1"/>
  <c r="BG18" i="1"/>
  <c r="BO18" i="1"/>
  <c r="AZ18" i="1"/>
  <c r="BH18" i="1"/>
  <c r="BP18" i="1"/>
  <c r="BA18" i="1"/>
  <c r="BI18" i="1"/>
  <c r="BQ18" i="1"/>
  <c r="BB18" i="1"/>
  <c r="BJ18" i="1"/>
  <c r="BR18" i="1"/>
  <c r="BS18" i="1"/>
  <c r="U18" i="1"/>
  <c r="AW18" i="1"/>
  <c r="BC18" i="1"/>
  <c r="BE18" i="1"/>
  <c r="BK18" i="1"/>
  <c r="BM18" i="1"/>
  <c r="U35" i="1"/>
  <c r="BC35" i="1"/>
  <c r="BK35" i="1"/>
  <c r="BS35" i="1"/>
  <c r="BD35" i="1"/>
  <c r="BL35" i="1"/>
  <c r="BT35" i="1"/>
  <c r="AW35" i="1"/>
  <c r="BE35" i="1"/>
  <c r="BM35" i="1"/>
  <c r="AX35" i="1"/>
  <c r="BF35" i="1"/>
  <c r="BN35" i="1"/>
  <c r="AY35" i="1"/>
  <c r="BG35" i="1"/>
  <c r="BO35" i="1"/>
  <c r="AZ35" i="1"/>
  <c r="BH35" i="1"/>
  <c r="BP35" i="1"/>
  <c r="BA35" i="1"/>
  <c r="BI35" i="1"/>
  <c r="BQ35" i="1"/>
  <c r="BB35" i="1"/>
  <c r="BJ35" i="1"/>
  <c r="BR35" i="1"/>
  <c r="CE22" i="1"/>
  <c r="BD48" i="1"/>
  <c r="BL48" i="1"/>
  <c r="BT48" i="1"/>
  <c r="AW48" i="1"/>
  <c r="BE48" i="1"/>
  <c r="BM48" i="1"/>
  <c r="AX48" i="1"/>
  <c r="BF48" i="1"/>
  <c r="BN48" i="1"/>
  <c r="AY48" i="1"/>
  <c r="BG48" i="1"/>
  <c r="BO48" i="1"/>
  <c r="AZ48" i="1"/>
  <c r="BH48" i="1"/>
  <c r="BP48" i="1"/>
  <c r="BA48" i="1"/>
  <c r="BI48" i="1"/>
  <c r="BQ48" i="1"/>
  <c r="BB48" i="1"/>
  <c r="BJ48" i="1"/>
  <c r="BR48" i="1"/>
  <c r="BK48" i="1"/>
  <c r="BS48" i="1"/>
  <c r="U48" i="1"/>
  <c r="BC48" i="1"/>
  <c r="CB59" i="1"/>
  <c r="CC59" i="1" s="1"/>
  <c r="BW50" i="1"/>
  <c r="CB13" i="1"/>
  <c r="CC13" i="1" s="1"/>
  <c r="CE29" i="1"/>
  <c r="CE35" i="1"/>
  <c r="BB24" i="1"/>
  <c r="BJ24" i="1"/>
  <c r="BR24" i="1"/>
  <c r="BD24" i="1"/>
  <c r="BL24" i="1"/>
  <c r="BT24" i="1"/>
  <c r="AW24" i="1"/>
  <c r="BE24" i="1"/>
  <c r="BM24" i="1"/>
  <c r="AY24" i="1"/>
  <c r="BG24" i="1"/>
  <c r="BO24" i="1"/>
  <c r="AZ24" i="1"/>
  <c r="BH24" i="1"/>
  <c r="BP24" i="1"/>
  <c r="BN24" i="1"/>
  <c r="U24" i="1"/>
  <c r="BQ24" i="1"/>
  <c r="AX24" i="1"/>
  <c r="BS24" i="1"/>
  <c r="BA24" i="1"/>
  <c r="BC24" i="1"/>
  <c r="BF24" i="1"/>
  <c r="BI24" i="1"/>
  <c r="BK24" i="1"/>
  <c r="BW46" i="1"/>
  <c r="CE12" i="1"/>
  <c r="CB43" i="1"/>
  <c r="CC43" i="1" s="1"/>
  <c r="CE9" i="1"/>
  <c r="CB48" i="1"/>
  <c r="CC48" i="1" s="1"/>
  <c r="CE54" i="1"/>
  <c r="CE21" i="1"/>
  <c r="BD59" i="1"/>
  <c r="BL59" i="1"/>
  <c r="BT59" i="1"/>
  <c r="AW59" i="1"/>
  <c r="BE59" i="1"/>
  <c r="BM59" i="1"/>
  <c r="AY59" i="1"/>
  <c r="BG59" i="1"/>
  <c r="BO59" i="1"/>
  <c r="AZ59" i="1"/>
  <c r="BH59" i="1"/>
  <c r="BP59" i="1"/>
  <c r="BA59" i="1"/>
  <c r="BI59" i="1"/>
  <c r="BQ59" i="1"/>
  <c r="BB59" i="1"/>
  <c r="BJ59" i="1"/>
  <c r="BR59" i="1"/>
  <c r="BF59" i="1"/>
  <c r="BK59" i="1"/>
  <c r="BN59" i="1"/>
  <c r="BS59" i="1"/>
  <c r="U59" i="1"/>
  <c r="AX59" i="1"/>
  <c r="BC59" i="1"/>
  <c r="CB50" i="1"/>
  <c r="CC50" i="1" s="1"/>
  <c r="CB58" i="1"/>
  <c r="CC58" i="1" s="1"/>
  <c r="BB13" i="1"/>
  <c r="BJ13" i="1"/>
  <c r="BR13" i="1"/>
  <c r="BD13" i="1"/>
  <c r="BL13" i="1"/>
  <c r="BT13" i="1"/>
  <c r="AW13" i="1"/>
  <c r="BE13" i="1"/>
  <c r="BM13" i="1"/>
  <c r="AX13" i="1"/>
  <c r="BF13" i="1"/>
  <c r="BN13" i="1"/>
  <c r="AY13" i="1"/>
  <c r="BG13" i="1"/>
  <c r="BO13" i="1"/>
  <c r="AZ13" i="1"/>
  <c r="BH13" i="1"/>
  <c r="BP13" i="1"/>
  <c r="BK13" i="1"/>
  <c r="BQ13" i="1"/>
  <c r="BS13" i="1"/>
  <c r="U13" i="1"/>
  <c r="BA13" i="1"/>
  <c r="BC13" i="1"/>
  <c r="BI13" i="1"/>
  <c r="BW29" i="1"/>
  <c r="BW35" i="1"/>
  <c r="BW58" i="1"/>
  <c r="BW15" i="1"/>
  <c r="BW53" i="1"/>
  <c r="CB51" i="1"/>
  <c r="CC51" i="1" s="1"/>
  <c r="BW12" i="1"/>
  <c r="CB36" i="1"/>
  <c r="CC36" i="1" s="1"/>
  <c r="CE38" i="1"/>
  <c r="CE40" i="1"/>
  <c r="BW44" i="1"/>
  <c r="CE57" i="1"/>
  <c r="CE55" i="1"/>
  <c r="BW54" i="1"/>
  <c r="BW21" i="1"/>
  <c r="BA50" i="1"/>
  <c r="BI50" i="1"/>
  <c r="BQ50" i="1"/>
  <c r="BB50" i="1"/>
  <c r="BJ50" i="1"/>
  <c r="BR50" i="1"/>
  <c r="U50" i="1"/>
  <c r="BC50" i="1"/>
  <c r="BK50" i="1"/>
  <c r="BS50" i="1"/>
  <c r="BD50" i="1"/>
  <c r="BL50" i="1"/>
  <c r="BT50" i="1"/>
  <c r="AW50" i="1"/>
  <c r="BE50" i="1"/>
  <c r="BM50" i="1"/>
  <c r="AX50" i="1"/>
  <c r="BF50" i="1"/>
  <c r="BN50" i="1"/>
  <c r="AY50" i="1"/>
  <c r="BG50" i="1"/>
  <c r="BO50" i="1"/>
  <c r="BH50" i="1"/>
  <c r="BP50" i="1"/>
  <c r="AZ50" i="1"/>
  <c r="BW18" i="1"/>
  <c r="CB29" i="1"/>
  <c r="CC29" i="1" s="1"/>
  <c r="CE7" i="1"/>
  <c r="CE26" i="1"/>
  <c r="BW27" i="1"/>
  <c r="CE32" i="1"/>
  <c r="CB53" i="1"/>
  <c r="CC53" i="1" s="1"/>
  <c r="BW51" i="1"/>
  <c r="U47" i="1"/>
  <c r="BC47" i="1"/>
  <c r="BK47" i="1"/>
  <c r="BS47" i="1"/>
  <c r="AX47" i="1"/>
  <c r="BG47" i="1"/>
  <c r="BP47" i="1"/>
  <c r="AZ47" i="1"/>
  <c r="BI47" i="1"/>
  <c r="BR47" i="1"/>
  <c r="BE47" i="1"/>
  <c r="BN47" i="1"/>
  <c r="AY47" i="1"/>
  <c r="BM47" i="1"/>
  <c r="BA47" i="1"/>
  <c r="BO47" i="1"/>
  <c r="BB47" i="1"/>
  <c r="BQ47" i="1"/>
  <c r="BD47" i="1"/>
  <c r="BT47" i="1"/>
  <c r="BF47" i="1"/>
  <c r="BH47" i="1"/>
  <c r="BJ47" i="1"/>
  <c r="AW47" i="1"/>
  <c r="BL47" i="1"/>
  <c r="AW12" i="1"/>
  <c r="BE12" i="1"/>
  <c r="BM12" i="1"/>
  <c r="AY12" i="1"/>
  <c r="BH12" i="1"/>
  <c r="BQ12" i="1"/>
  <c r="BA12" i="1"/>
  <c r="BJ12" i="1"/>
  <c r="BS12" i="1"/>
  <c r="BB12" i="1"/>
  <c r="BK12" i="1"/>
  <c r="BT12" i="1"/>
  <c r="BC12" i="1"/>
  <c r="BL12" i="1"/>
  <c r="U12" i="1"/>
  <c r="BD12" i="1"/>
  <c r="BN12" i="1"/>
  <c r="BF12" i="1"/>
  <c r="BO12" i="1"/>
  <c r="AX12" i="1"/>
  <c r="AZ12" i="1"/>
  <c r="BG12" i="1"/>
  <c r="BI12" i="1"/>
  <c r="BP12" i="1"/>
  <c r="BR12" i="1"/>
  <c r="BW38" i="1"/>
  <c r="CE43" i="1"/>
  <c r="CB40" i="1"/>
  <c r="CC40" i="1" s="1"/>
  <c r="BW42" i="1"/>
  <c r="CE44" i="1"/>
  <c r="BW9" i="1"/>
  <c r="CB54" i="1"/>
  <c r="CC54" i="1" s="1"/>
  <c r="CB21" i="1"/>
  <c r="CC21" i="1" s="1"/>
  <c r="CB26" i="1"/>
  <c r="CC26" i="1" s="1"/>
  <c r="AZ29" i="1"/>
  <c r="BH29" i="1"/>
  <c r="BP29" i="1"/>
  <c r="BB29" i="1"/>
  <c r="BJ29" i="1"/>
  <c r="BR29" i="1"/>
  <c r="U29" i="1"/>
  <c r="BC29" i="1"/>
  <c r="BK29" i="1"/>
  <c r="BS29" i="1"/>
  <c r="BD29" i="1"/>
  <c r="BL29" i="1"/>
  <c r="BT29" i="1"/>
  <c r="AW29" i="1"/>
  <c r="BE29" i="1"/>
  <c r="BM29" i="1"/>
  <c r="AX29" i="1"/>
  <c r="BF29" i="1"/>
  <c r="BN29" i="1"/>
  <c r="BO29" i="1"/>
  <c r="BQ29" i="1"/>
  <c r="AY29" i="1"/>
  <c r="BA29" i="1"/>
  <c r="BG29" i="1"/>
  <c r="BI29" i="1"/>
  <c r="CB19" i="1"/>
  <c r="CC19" i="1" s="1"/>
  <c r="BW7" i="1"/>
  <c r="BW26" i="1"/>
  <c r="U23" i="1"/>
  <c r="BC23" i="1"/>
  <c r="BK23" i="1"/>
  <c r="BS23" i="1"/>
  <c r="AW23" i="1"/>
  <c r="BF23" i="1"/>
  <c r="BO23" i="1"/>
  <c r="AX23" i="1"/>
  <c r="BG23" i="1"/>
  <c r="BP23" i="1"/>
  <c r="AY23" i="1"/>
  <c r="BH23" i="1"/>
  <c r="BQ23" i="1"/>
  <c r="AZ23" i="1"/>
  <c r="BI23" i="1"/>
  <c r="BR23" i="1"/>
  <c r="BA23" i="1"/>
  <c r="BJ23" i="1"/>
  <c r="BT23" i="1"/>
  <c r="BB23" i="1"/>
  <c r="BL23" i="1"/>
  <c r="BD23" i="1"/>
  <c r="BM23" i="1"/>
  <c r="BN23" i="1"/>
  <c r="BE23" i="1"/>
  <c r="BW32" i="1"/>
  <c r="BD33" i="1"/>
  <c r="BL33" i="1"/>
  <c r="BT33" i="1"/>
  <c r="AX33" i="1"/>
  <c r="BG33" i="1"/>
  <c r="BP33" i="1"/>
  <c r="AZ33" i="1"/>
  <c r="BI33" i="1"/>
  <c r="BR33" i="1"/>
  <c r="U33" i="1"/>
  <c r="BE33" i="1"/>
  <c r="BN33" i="1"/>
  <c r="AY33" i="1"/>
  <c r="BM33" i="1"/>
  <c r="BA33" i="1"/>
  <c r="BO33" i="1"/>
  <c r="BB33" i="1"/>
  <c r="BQ33" i="1"/>
  <c r="BC33" i="1"/>
  <c r="BS33" i="1"/>
  <c r="BF33" i="1"/>
  <c r="BH33" i="1"/>
  <c r="BJ33" i="1"/>
  <c r="AW33" i="1"/>
  <c r="BK33" i="1"/>
  <c r="CE36" i="1"/>
  <c r="CB41" i="1"/>
  <c r="CC41" i="1" s="1"/>
  <c r="CB39" i="1"/>
  <c r="CC39" i="1" s="1"/>
  <c r="BB40" i="1"/>
  <c r="BJ40" i="1"/>
  <c r="BR40" i="1"/>
  <c r="AW40" i="1"/>
  <c r="BF40" i="1"/>
  <c r="BO40" i="1"/>
  <c r="AY40" i="1"/>
  <c r="BH40" i="1"/>
  <c r="BQ40" i="1"/>
  <c r="BC40" i="1"/>
  <c r="BL40" i="1"/>
  <c r="U40" i="1"/>
  <c r="BD40" i="1"/>
  <c r="BM40" i="1"/>
  <c r="BN40" i="1"/>
  <c r="AX40" i="1"/>
  <c r="BP40" i="1"/>
  <c r="AZ40" i="1"/>
  <c r="BS40" i="1"/>
  <c r="BA40" i="1"/>
  <c r="BT40" i="1"/>
  <c r="BE40" i="1"/>
  <c r="BG40" i="1"/>
  <c r="BI40" i="1"/>
  <c r="BK40" i="1"/>
  <c r="AX9" i="1"/>
  <c r="BF9" i="1"/>
  <c r="BN9" i="1"/>
  <c r="AY9" i="1"/>
  <c r="BG9" i="1"/>
  <c r="BO9" i="1"/>
  <c r="AZ9" i="1"/>
  <c r="BH9" i="1"/>
  <c r="BP9" i="1"/>
  <c r="BA9" i="1"/>
  <c r="BI9" i="1"/>
  <c r="BQ9" i="1"/>
  <c r="BB9" i="1"/>
  <c r="BJ9" i="1"/>
  <c r="BR9" i="1"/>
  <c r="U9" i="1"/>
  <c r="BC9" i="1"/>
  <c r="BK9" i="1"/>
  <c r="BS9" i="1"/>
  <c r="BD9" i="1"/>
  <c r="BL9" i="1"/>
  <c r="BT9" i="1"/>
  <c r="AW9" i="1"/>
  <c r="BE9" i="1"/>
  <c r="BM9" i="1"/>
  <c r="BB54" i="1"/>
  <c r="BJ54" i="1"/>
  <c r="BR54" i="1"/>
  <c r="BC54" i="1"/>
  <c r="BK54" i="1"/>
  <c r="BS54" i="1"/>
  <c r="BD54" i="1"/>
  <c r="BL54" i="1"/>
  <c r="BT54" i="1"/>
  <c r="AW54" i="1"/>
  <c r="BE54" i="1"/>
  <c r="BM54" i="1"/>
  <c r="AX54" i="1"/>
  <c r="BF54" i="1"/>
  <c r="BN54" i="1"/>
  <c r="AY54" i="1"/>
  <c r="BG54" i="1"/>
  <c r="BO54" i="1"/>
  <c r="AZ54" i="1"/>
  <c r="BH54" i="1"/>
  <c r="BP54" i="1"/>
  <c r="BA54" i="1"/>
  <c r="BI54" i="1"/>
  <c r="BQ54" i="1"/>
  <c r="BB21" i="1"/>
  <c r="BJ21" i="1"/>
  <c r="BR21" i="1"/>
  <c r="U21" i="1"/>
  <c r="BC21" i="1"/>
  <c r="BK21" i="1"/>
  <c r="BS21" i="1"/>
  <c r="BD21" i="1"/>
  <c r="BL21" i="1"/>
  <c r="BT21" i="1"/>
  <c r="AW21" i="1"/>
  <c r="BE21" i="1"/>
  <c r="BM21" i="1"/>
  <c r="AX21" i="1"/>
  <c r="BF21" i="1"/>
  <c r="BN21" i="1"/>
  <c r="AY21" i="1"/>
  <c r="BG21" i="1"/>
  <c r="BO21" i="1"/>
  <c r="AZ21" i="1"/>
  <c r="BH21" i="1"/>
  <c r="BP21" i="1"/>
  <c r="BA21" i="1"/>
  <c r="BI21" i="1"/>
  <c r="BQ21" i="1"/>
  <c r="CE37" i="1"/>
  <c r="CB16" i="1"/>
  <c r="CC16" i="1" s="1"/>
  <c r="BB19" i="1"/>
  <c r="BJ19" i="1"/>
  <c r="BR19" i="1"/>
  <c r="AX19" i="1"/>
  <c r="BG19" i="1"/>
  <c r="BP19" i="1"/>
  <c r="AY19" i="1"/>
  <c r="BH19" i="1"/>
  <c r="BQ19" i="1"/>
  <c r="AZ19" i="1"/>
  <c r="BI19" i="1"/>
  <c r="BS19" i="1"/>
  <c r="BA19" i="1"/>
  <c r="BK19" i="1"/>
  <c r="BT19" i="1"/>
  <c r="BC19" i="1"/>
  <c r="BL19" i="1"/>
  <c r="U19" i="1"/>
  <c r="BD19" i="1"/>
  <c r="BM19" i="1"/>
  <c r="BE19" i="1"/>
  <c r="BN19" i="1"/>
  <c r="AW19" i="1"/>
  <c r="BF19" i="1"/>
  <c r="BO19" i="1"/>
  <c r="CB22" i="1"/>
  <c r="CC22" i="1" s="1"/>
  <c r="CB25" i="1"/>
  <c r="CC25" i="1" s="1"/>
  <c r="BW23" i="1"/>
  <c r="BA32" i="1"/>
  <c r="BI32" i="1"/>
  <c r="BQ32" i="1"/>
  <c r="AZ32" i="1"/>
  <c r="BJ32" i="1"/>
  <c r="BS32" i="1"/>
  <c r="BC32" i="1"/>
  <c r="BL32" i="1"/>
  <c r="U32" i="1"/>
  <c r="BD32" i="1"/>
  <c r="BM32" i="1"/>
  <c r="AX32" i="1"/>
  <c r="BG32" i="1"/>
  <c r="BP32" i="1"/>
  <c r="BH32" i="1"/>
  <c r="BK32" i="1"/>
  <c r="BN32" i="1"/>
  <c r="AW32" i="1"/>
  <c r="BO32" i="1"/>
  <c r="AY32" i="1"/>
  <c r="BR32" i="1"/>
  <c r="BB32" i="1"/>
  <c r="BT32" i="1"/>
  <c r="BE32" i="1"/>
  <c r="BF32" i="1"/>
  <c r="CE47" i="1"/>
  <c r="BW47" i="1"/>
  <c r="CE51" i="1"/>
  <c r="BW36" i="1"/>
  <c r="N48" i="1"/>
  <c r="BX48" i="1"/>
  <c r="I48" i="1"/>
  <c r="CC9" i="1"/>
  <c r="N24" i="1"/>
  <c r="BX24" i="1"/>
  <c r="I24" i="1"/>
  <c r="G19" i="1"/>
  <c r="CF19" i="1"/>
  <c r="G45" i="1"/>
  <c r="CF45" i="1"/>
  <c r="CF20" i="1"/>
  <c r="G20" i="1"/>
  <c r="G48" i="1"/>
  <c r="CF48" i="1"/>
  <c r="G27" i="1"/>
  <c r="CF27" i="1"/>
  <c r="CC32" i="1"/>
  <c r="I30" i="1"/>
  <c r="BX30" i="1"/>
  <c r="N30" i="1"/>
  <c r="G17" i="1"/>
  <c r="CF17" i="1"/>
  <c r="G24" i="1"/>
  <c r="CF24" i="1"/>
  <c r="N19" i="1"/>
  <c r="I19" i="1"/>
  <c r="BX19" i="1"/>
  <c r="BX45" i="1"/>
  <c r="I45" i="1"/>
  <c r="N45" i="1"/>
  <c r="CF39" i="1"/>
  <c r="G39" i="1"/>
  <c r="G8" i="1"/>
  <c r="CF8" i="1"/>
  <c r="CC35" i="1"/>
  <c r="N16" i="1"/>
  <c r="BX16" i="1"/>
  <c r="I16" i="1"/>
  <c r="CC33" i="1"/>
  <c r="BX52" i="1"/>
  <c r="N52" i="1"/>
  <c r="I52" i="1"/>
  <c r="N59" i="1"/>
  <c r="BX59" i="1"/>
  <c r="I59" i="1"/>
  <c r="G30" i="1"/>
  <c r="CF30" i="1"/>
  <c r="N20" i="1"/>
  <c r="BX20" i="1"/>
  <c r="I20" i="1"/>
  <c r="CF41" i="1"/>
  <c r="G41" i="1"/>
  <c r="BX8" i="1"/>
  <c r="I8" i="1"/>
  <c r="N8" i="1"/>
  <c r="CC27" i="1"/>
  <c r="G25" i="1"/>
  <c r="CF25" i="1"/>
  <c r="G16" i="1"/>
  <c r="CF16" i="1"/>
  <c r="CC23" i="1"/>
  <c r="BX49" i="1"/>
  <c r="I49" i="1"/>
  <c r="N49" i="1"/>
  <c r="G59" i="1"/>
  <c r="CF59" i="1"/>
  <c r="CC20" i="1"/>
  <c r="G23" i="1"/>
  <c r="CF23" i="1"/>
  <c r="I25" i="1"/>
  <c r="N25" i="1"/>
  <c r="BX25" i="1"/>
  <c r="CF42" i="1"/>
  <c r="G42" i="1"/>
  <c r="N55" i="1"/>
  <c r="BX55" i="1"/>
  <c r="I55" i="1"/>
  <c r="G28" i="1"/>
  <c r="CF28" i="1"/>
  <c r="G49" i="1"/>
  <c r="CF49" i="1"/>
  <c r="CB31" i="1"/>
  <c r="CC31" i="1" s="1"/>
  <c r="CB34" i="1"/>
  <c r="CC34" i="1" s="1"/>
  <c r="CB14" i="1"/>
  <c r="CC14" i="1" s="1"/>
  <c r="BW14" i="1"/>
  <c r="N14" i="1" s="1"/>
  <c r="CE14" i="1"/>
  <c r="CF14" i="1" s="1"/>
  <c r="BW56" i="1"/>
  <c r="N56" i="1" s="1"/>
  <c r="CB56" i="1"/>
  <c r="CC56" i="1" s="1"/>
  <c r="CE11" i="1"/>
  <c r="CF11" i="1" s="1"/>
  <c r="CE56" i="1"/>
  <c r="G56" i="1" s="1"/>
  <c r="CE6" i="1"/>
  <c r="CF6" i="1" s="1"/>
  <c r="U31" i="1"/>
  <c r="BN31" i="1"/>
  <c r="BH31" i="1"/>
  <c r="BE31" i="1"/>
  <c r="BF31" i="1"/>
  <c r="BD31" i="1"/>
  <c r="BR31" i="1"/>
  <c r="AX31" i="1"/>
  <c r="BA31" i="1"/>
  <c r="BB31" i="1"/>
  <c r="BJ31" i="1"/>
  <c r="BM31" i="1"/>
  <c r="BT31" i="1"/>
  <c r="AZ31" i="1"/>
  <c r="BS31" i="1"/>
  <c r="BO31" i="1"/>
  <c r="AW31" i="1"/>
  <c r="BK31" i="1"/>
  <c r="BG31" i="1"/>
  <c r="BL31" i="1"/>
  <c r="BQ31" i="1"/>
  <c r="BC31" i="1"/>
  <c r="AY31" i="1"/>
  <c r="BI31" i="1"/>
  <c r="BP31" i="1"/>
  <c r="BK14" i="1"/>
  <c r="BH14" i="1"/>
  <c r="BJ14" i="1"/>
  <c r="BM14" i="1"/>
  <c r="BC14" i="1"/>
  <c r="AZ14" i="1"/>
  <c r="BF14" i="1"/>
  <c r="BG14" i="1"/>
  <c r="BE14" i="1"/>
  <c r="U14" i="1"/>
  <c r="BB14" i="1"/>
  <c r="BT14" i="1"/>
  <c r="AW14" i="1"/>
  <c r="BO14" i="1"/>
  <c r="AX14" i="1"/>
  <c r="BQ14" i="1"/>
  <c r="BL14" i="1"/>
  <c r="BI14" i="1"/>
  <c r="AY14" i="1"/>
  <c r="BD14" i="1"/>
  <c r="BA14" i="1"/>
  <c r="BR14" i="1"/>
  <c r="BS14" i="1"/>
  <c r="BP14" i="1"/>
  <c r="BN14" i="1"/>
  <c r="BW34" i="1"/>
  <c r="N34" i="1" s="1"/>
  <c r="BW4" i="1"/>
  <c r="N4" i="1" s="1"/>
  <c r="CE31" i="1"/>
  <c r="G31" i="1" s="1"/>
  <c r="CE34" i="1"/>
  <c r="G34" i="1" s="1"/>
  <c r="CB4" i="1"/>
  <c r="CC4" i="1" s="1"/>
  <c r="CB11" i="1"/>
  <c r="CC11" i="1" s="1"/>
  <c r="BW31" i="1"/>
  <c r="N31" i="1" s="1"/>
  <c r="BW6" i="1"/>
  <c r="N6" i="1" s="1"/>
  <c r="CE10" i="1"/>
  <c r="CF10" i="1" s="1"/>
  <c r="BW11" i="1"/>
  <c r="BX11" i="1" s="1"/>
  <c r="CB10" i="1"/>
  <c r="CC10" i="1" s="1"/>
  <c r="CB6" i="1"/>
  <c r="CC6" i="1" s="1"/>
  <c r="BN56" i="1"/>
  <c r="BF56" i="1"/>
  <c r="AX56" i="1"/>
  <c r="BM56" i="1"/>
  <c r="BE56" i="1"/>
  <c r="AW56" i="1"/>
  <c r="BT56" i="1"/>
  <c r="BL56" i="1"/>
  <c r="BD56" i="1"/>
  <c r="BS56" i="1"/>
  <c r="BK56" i="1"/>
  <c r="BC56" i="1"/>
  <c r="U56" i="1"/>
  <c r="BR56" i="1"/>
  <c r="BJ56" i="1"/>
  <c r="BB56" i="1"/>
  <c r="BQ56" i="1"/>
  <c r="BI56" i="1"/>
  <c r="BA56" i="1"/>
  <c r="BP56" i="1"/>
  <c r="BH56" i="1"/>
  <c r="AZ56" i="1"/>
  <c r="BO56" i="1"/>
  <c r="BG56" i="1"/>
  <c r="AY56" i="1"/>
  <c r="BR11" i="1"/>
  <c r="BJ11" i="1"/>
  <c r="BB11" i="1"/>
  <c r="BQ11" i="1"/>
  <c r="BI11" i="1"/>
  <c r="BA11" i="1"/>
  <c r="BN11" i="1"/>
  <c r="BF11" i="1"/>
  <c r="AX11" i="1"/>
  <c r="BM11" i="1"/>
  <c r="BE11" i="1"/>
  <c r="AW11" i="1"/>
  <c r="BT11" i="1"/>
  <c r="BL11" i="1"/>
  <c r="BD11" i="1"/>
  <c r="AZ11" i="1"/>
  <c r="BS11" i="1"/>
  <c r="AY11" i="1"/>
  <c r="BP11" i="1"/>
  <c r="U11" i="1"/>
  <c r="BO11" i="1"/>
  <c r="BK11" i="1"/>
  <c r="BH11" i="1"/>
  <c r="BC11" i="1"/>
  <c r="BG11" i="1"/>
  <c r="BP10" i="1"/>
  <c r="BH10" i="1"/>
  <c r="AZ10" i="1"/>
  <c r="BO10" i="1"/>
  <c r="BG10" i="1"/>
  <c r="AY10" i="1"/>
  <c r="BT10" i="1"/>
  <c r="BL10" i="1"/>
  <c r="BD10" i="1"/>
  <c r="BS10" i="1"/>
  <c r="BK10" i="1"/>
  <c r="BC10" i="1"/>
  <c r="U10" i="1"/>
  <c r="BR10" i="1"/>
  <c r="BJ10" i="1"/>
  <c r="BB10" i="1"/>
  <c r="BQ10" i="1"/>
  <c r="AW10" i="1"/>
  <c r="BN10" i="1"/>
  <c r="BM10" i="1"/>
  <c r="BI10" i="1"/>
  <c r="BF10" i="1"/>
  <c r="BE10" i="1"/>
  <c r="BA10" i="1"/>
  <c r="AX10" i="1"/>
  <c r="BT34" i="1"/>
  <c r="BL34" i="1"/>
  <c r="BD34" i="1"/>
  <c r="BS34" i="1"/>
  <c r="BK34" i="1"/>
  <c r="BC34" i="1"/>
  <c r="U34" i="1"/>
  <c r="BP34" i="1"/>
  <c r="BH34" i="1"/>
  <c r="AZ34" i="1"/>
  <c r="BO34" i="1"/>
  <c r="BG34" i="1"/>
  <c r="AY34" i="1"/>
  <c r="BN34" i="1"/>
  <c r="BF34" i="1"/>
  <c r="AX34" i="1"/>
  <c r="BI34" i="1"/>
  <c r="BE34" i="1"/>
  <c r="BB34" i="1"/>
  <c r="BA34" i="1"/>
  <c r="BR34" i="1"/>
  <c r="AW34" i="1"/>
  <c r="BQ34" i="1"/>
  <c r="BM34" i="1"/>
  <c r="BJ34" i="1"/>
  <c r="BQ6" i="1"/>
  <c r="BI6" i="1"/>
  <c r="BA6" i="1"/>
  <c r="BP6" i="1"/>
  <c r="BH6" i="1"/>
  <c r="AZ6" i="1"/>
  <c r="BM6" i="1"/>
  <c r="BE6" i="1"/>
  <c r="AW6" i="1"/>
  <c r="BT6" i="1"/>
  <c r="BL6" i="1"/>
  <c r="BD6" i="1"/>
  <c r="BS6" i="1"/>
  <c r="BK6" i="1"/>
  <c r="BC6" i="1"/>
  <c r="U6" i="1"/>
  <c r="BB6" i="1"/>
  <c r="AY6" i="1"/>
  <c r="BR6" i="1"/>
  <c r="AX6" i="1"/>
  <c r="BO6" i="1"/>
  <c r="BN6" i="1"/>
  <c r="BJ6" i="1"/>
  <c r="BG6" i="1"/>
  <c r="BF6" i="1"/>
  <c r="BO4" i="1"/>
  <c r="BG4" i="1"/>
  <c r="AY4" i="1"/>
  <c r="BN4" i="1"/>
  <c r="BF4" i="1"/>
  <c r="AX4" i="1"/>
  <c r="BM4" i="1"/>
  <c r="BE4" i="1"/>
  <c r="AW4" i="1"/>
  <c r="BT4" i="1"/>
  <c r="BL4" i="1"/>
  <c r="BD4" i="1"/>
  <c r="BS4" i="1"/>
  <c r="BK4" i="1"/>
  <c r="BC4" i="1"/>
  <c r="U4" i="1"/>
  <c r="AV4" i="1" s="1"/>
  <c r="BR4" i="1"/>
  <c r="BJ4" i="1"/>
  <c r="BB4" i="1"/>
  <c r="BP4" i="1"/>
  <c r="BI4" i="1"/>
  <c r="BQ4" i="1"/>
  <c r="BH4" i="1"/>
  <c r="H4" i="1"/>
  <c r="BA4" i="1"/>
  <c r="AZ4" i="1"/>
  <c r="BX10" i="1"/>
  <c r="N10" i="1"/>
  <c r="I10" i="1"/>
  <c r="G4" i="1"/>
  <c r="CF4" i="1"/>
  <c r="L45" i="1" l="1"/>
  <c r="L15" i="1"/>
  <c r="L40" i="1"/>
  <c r="L26" i="1"/>
  <c r="G12" i="1"/>
  <c r="CF12" i="1"/>
  <c r="L20" i="1"/>
  <c r="AV39" i="1"/>
  <c r="F39" i="1" s="1"/>
  <c r="L43" i="1"/>
  <c r="L37" i="1"/>
  <c r="AV30" i="1"/>
  <c r="F30" i="1" s="1"/>
  <c r="L49" i="1"/>
  <c r="AV32" i="1"/>
  <c r="F32" i="1" s="1"/>
  <c r="AV21" i="1"/>
  <c r="F21" i="1" s="1"/>
  <c r="N7" i="1"/>
  <c r="I7" i="1"/>
  <c r="BX7" i="1"/>
  <c r="BX9" i="1"/>
  <c r="I9" i="1"/>
  <c r="N9" i="1"/>
  <c r="L12" i="1"/>
  <c r="G32" i="1"/>
  <c r="CF32" i="1"/>
  <c r="CF40" i="1"/>
  <c r="G40" i="1"/>
  <c r="N35" i="1"/>
  <c r="BX35" i="1"/>
  <c r="I35" i="1"/>
  <c r="I46" i="1"/>
  <c r="BX46" i="1"/>
  <c r="N46" i="1"/>
  <c r="AV36" i="1"/>
  <c r="F36" i="1" s="1"/>
  <c r="I41" i="1"/>
  <c r="BX41" i="1"/>
  <c r="N41" i="1"/>
  <c r="AV22" i="1"/>
  <c r="F22" i="1" s="1"/>
  <c r="AV16" i="1"/>
  <c r="F16" i="1" s="1"/>
  <c r="L39" i="1"/>
  <c r="G36" i="1"/>
  <c r="CF36" i="1"/>
  <c r="I50" i="1"/>
  <c r="N50" i="1"/>
  <c r="BX50" i="1"/>
  <c r="AV43" i="1"/>
  <c r="F43" i="1" s="1"/>
  <c r="L17" i="1"/>
  <c r="L32" i="1"/>
  <c r="G37" i="1"/>
  <c r="CF37" i="1"/>
  <c r="L21" i="1"/>
  <c r="L33" i="1"/>
  <c r="AV33" i="1"/>
  <c r="F33" i="1" s="1"/>
  <c r="N27" i="1"/>
  <c r="BX27" i="1"/>
  <c r="I27" i="1"/>
  <c r="AV50" i="1"/>
  <c r="F50" i="1" s="1"/>
  <c r="N21" i="1"/>
  <c r="BX21" i="1"/>
  <c r="I21" i="1"/>
  <c r="CF38" i="1"/>
  <c r="G38" i="1"/>
  <c r="BX29" i="1"/>
  <c r="N29" i="1"/>
  <c r="I29" i="1"/>
  <c r="L13" i="1"/>
  <c r="AV59" i="1"/>
  <c r="F59" i="1" s="1"/>
  <c r="AV57" i="1"/>
  <c r="F57" i="1" s="1"/>
  <c r="AV51" i="1"/>
  <c r="F51" i="1" s="1"/>
  <c r="L22" i="1"/>
  <c r="L16" i="1"/>
  <c r="L35" i="1"/>
  <c r="G46" i="1"/>
  <c r="CF46" i="1"/>
  <c r="I39" i="1"/>
  <c r="BX39" i="1"/>
  <c r="N39" i="1"/>
  <c r="AV58" i="1"/>
  <c r="F58" i="1" s="1"/>
  <c r="AV38" i="1"/>
  <c r="F38" i="1" s="1"/>
  <c r="L58" i="1"/>
  <c r="BX23" i="1"/>
  <c r="N23" i="1"/>
  <c r="I23" i="1"/>
  <c r="L19" i="1"/>
  <c r="AV9" i="1"/>
  <c r="F9" i="1" s="1"/>
  <c r="CF44" i="1"/>
  <c r="G44" i="1"/>
  <c r="G26" i="1"/>
  <c r="CF26" i="1"/>
  <c r="L50" i="1"/>
  <c r="N54" i="1"/>
  <c r="BX54" i="1"/>
  <c r="I54" i="1"/>
  <c r="G21" i="1"/>
  <c r="CF21" i="1"/>
  <c r="AV24" i="1"/>
  <c r="F24" i="1" s="1"/>
  <c r="AV48" i="1"/>
  <c r="F48" i="1" s="1"/>
  <c r="AV28" i="1"/>
  <c r="F28" i="1" s="1"/>
  <c r="CF53" i="1"/>
  <c r="G53" i="1"/>
  <c r="AV7" i="1"/>
  <c r="F7" i="1" s="1"/>
  <c r="L57" i="1"/>
  <c r="L51" i="1"/>
  <c r="L52" i="1"/>
  <c r="BX28" i="1"/>
  <c r="N28" i="1"/>
  <c r="I28" i="1"/>
  <c r="L53" i="1"/>
  <c r="AV53" i="1"/>
  <c r="F53" i="1" s="1"/>
  <c r="N58" i="1"/>
  <c r="BX58" i="1"/>
  <c r="I58" i="1"/>
  <c r="G50" i="1"/>
  <c r="CF50" i="1"/>
  <c r="N37" i="1"/>
  <c r="BX37" i="1"/>
  <c r="I37" i="1"/>
  <c r="L38" i="1"/>
  <c r="AV45" i="1"/>
  <c r="F45" i="1" s="1"/>
  <c r="N36" i="1"/>
  <c r="I36" i="1"/>
  <c r="BX36" i="1"/>
  <c r="AV54" i="1"/>
  <c r="F54" i="1" s="1"/>
  <c r="L9" i="1"/>
  <c r="I32" i="1"/>
  <c r="N32" i="1"/>
  <c r="BX32" i="1"/>
  <c r="N42" i="1"/>
  <c r="BX42" i="1"/>
  <c r="I42" i="1"/>
  <c r="AV12" i="1"/>
  <c r="F12" i="1" s="1"/>
  <c r="CF7" i="1"/>
  <c r="G7" i="1"/>
  <c r="G55" i="1"/>
  <c r="CF55" i="1"/>
  <c r="N12" i="1"/>
  <c r="I12" i="1"/>
  <c r="BX12" i="1"/>
  <c r="G54" i="1"/>
  <c r="CF54" i="1"/>
  <c r="L48" i="1"/>
  <c r="L18" i="1"/>
  <c r="CF15" i="1"/>
  <c r="G15" i="1"/>
  <c r="L7" i="1"/>
  <c r="AV20" i="1"/>
  <c r="F20" i="1" s="1"/>
  <c r="AV27" i="1"/>
  <c r="F27" i="1" s="1"/>
  <c r="BX57" i="1"/>
  <c r="I57" i="1"/>
  <c r="N57" i="1"/>
  <c r="L42" i="1"/>
  <c r="AV42" i="1"/>
  <c r="F42" i="1" s="1"/>
  <c r="AV49" i="1"/>
  <c r="F49" i="1" s="1"/>
  <c r="CF51" i="1"/>
  <c r="G51" i="1"/>
  <c r="L54" i="1"/>
  <c r="AV29" i="1"/>
  <c r="F29" i="1" s="1"/>
  <c r="AV47" i="1"/>
  <c r="F47" i="1" s="1"/>
  <c r="CF57" i="1"/>
  <c r="G57" i="1"/>
  <c r="L59" i="1"/>
  <c r="L24" i="1"/>
  <c r="G35" i="1"/>
  <c r="CF35" i="1"/>
  <c r="CF22" i="1"/>
  <c r="G22" i="1"/>
  <c r="AV44" i="1"/>
  <c r="F44" i="1" s="1"/>
  <c r="BX22" i="1"/>
  <c r="I22" i="1"/>
  <c r="N22" i="1"/>
  <c r="AV8" i="1"/>
  <c r="F8" i="1" s="1"/>
  <c r="CF52" i="1"/>
  <c r="G52" i="1"/>
  <c r="L41" i="1"/>
  <c r="G13" i="1"/>
  <c r="CF13" i="1"/>
  <c r="AV25" i="1"/>
  <c r="F25" i="1" s="1"/>
  <c r="N44" i="1"/>
  <c r="BX44" i="1"/>
  <c r="I44" i="1"/>
  <c r="L27" i="1"/>
  <c r="AV41" i="1"/>
  <c r="F41" i="1" s="1"/>
  <c r="L30" i="1"/>
  <c r="L46" i="1"/>
  <c r="N47" i="1"/>
  <c r="I47" i="1"/>
  <c r="BX47" i="1"/>
  <c r="AV19" i="1"/>
  <c r="F19" i="1" s="1"/>
  <c r="AV23" i="1"/>
  <c r="F23" i="1" s="1"/>
  <c r="L29" i="1"/>
  <c r="CF43" i="1"/>
  <c r="G43" i="1"/>
  <c r="L47" i="1"/>
  <c r="BX18" i="1"/>
  <c r="I18" i="1"/>
  <c r="N18" i="1"/>
  <c r="N53" i="1"/>
  <c r="BX53" i="1"/>
  <c r="I53" i="1"/>
  <c r="AV13" i="1"/>
  <c r="F13" i="1" s="1"/>
  <c r="G9" i="1"/>
  <c r="CF9" i="1"/>
  <c r="CF29" i="1"/>
  <c r="G29" i="1"/>
  <c r="L36" i="1"/>
  <c r="L28" i="1"/>
  <c r="L44" i="1"/>
  <c r="G58" i="1"/>
  <c r="CF58" i="1"/>
  <c r="AV52" i="1"/>
  <c r="F52" i="1" s="1"/>
  <c r="L8" i="1"/>
  <c r="N33" i="1"/>
  <c r="I33" i="1"/>
  <c r="BX33" i="1"/>
  <c r="BX43" i="1"/>
  <c r="I43" i="1"/>
  <c r="N43" i="1"/>
  <c r="G18" i="1"/>
  <c r="CF18" i="1"/>
  <c r="L25" i="1"/>
  <c r="AV46" i="1"/>
  <c r="F46" i="1" s="1"/>
  <c r="AV40" i="1"/>
  <c r="F40" i="1" s="1"/>
  <c r="I26" i="1"/>
  <c r="N26" i="1"/>
  <c r="BX26" i="1"/>
  <c r="L55" i="1"/>
  <c r="AV15" i="1"/>
  <c r="F15" i="1" s="1"/>
  <c r="AV26" i="1"/>
  <c r="F26" i="1" s="1"/>
  <c r="AV17" i="1"/>
  <c r="F17" i="1" s="1"/>
  <c r="AV37" i="1"/>
  <c r="F37" i="1" s="1"/>
  <c r="G47" i="1"/>
  <c r="CF47" i="1"/>
  <c r="L23" i="1"/>
  <c r="I38" i="1"/>
  <c r="N38" i="1"/>
  <c r="BX38" i="1"/>
  <c r="BX51" i="1"/>
  <c r="I51" i="1"/>
  <c r="N51" i="1"/>
  <c r="I15" i="1"/>
  <c r="BX15" i="1"/>
  <c r="N15" i="1"/>
  <c r="AV35" i="1"/>
  <c r="F35" i="1" s="1"/>
  <c r="AV18" i="1"/>
  <c r="F18" i="1" s="1"/>
  <c r="BX40" i="1"/>
  <c r="I40" i="1"/>
  <c r="N40" i="1"/>
  <c r="N13" i="1"/>
  <c r="BX13" i="1"/>
  <c r="I13" i="1"/>
  <c r="CF33" i="1"/>
  <c r="G33" i="1"/>
  <c r="AV55" i="1"/>
  <c r="F55" i="1" s="1"/>
  <c r="N17" i="1"/>
  <c r="BX17" i="1"/>
  <c r="I17" i="1"/>
  <c r="BX14" i="1"/>
  <c r="I14" i="1"/>
  <c r="G14" i="1"/>
  <c r="G6" i="1"/>
  <c r="BX4" i="1"/>
  <c r="I11" i="1"/>
  <c r="CF56" i="1"/>
  <c r="CF31" i="1"/>
  <c r="G10" i="1"/>
  <c r="I4" i="1"/>
  <c r="G11" i="1"/>
  <c r="CF34" i="1"/>
  <c r="I6" i="1"/>
  <c r="N11" i="1"/>
  <c r="I34" i="1"/>
  <c r="BX34" i="1"/>
  <c r="BX6" i="1"/>
  <c r="BX31" i="1"/>
  <c r="L6" i="1"/>
  <c r="I31" i="1"/>
  <c r="AV6" i="1"/>
  <c r="F6" i="1" s="1"/>
  <c r="L11" i="1"/>
  <c r="BX56" i="1"/>
  <c r="L56" i="1"/>
  <c r="AV31" i="1"/>
  <c r="F31" i="1" s="1"/>
  <c r="I56" i="1"/>
  <c r="AV56" i="1"/>
  <c r="F56" i="1" s="1"/>
  <c r="L4" i="1"/>
  <c r="L10" i="1"/>
  <c r="AV11" i="1"/>
  <c r="F11" i="1" s="1"/>
  <c r="L34" i="1"/>
  <c r="AV10" i="1"/>
  <c r="F10" i="1" s="1"/>
  <c r="AV34" i="1"/>
  <c r="F34" i="1" s="1"/>
  <c r="AV14" i="1"/>
  <c r="F14" i="1" s="1"/>
  <c r="L14" i="1"/>
  <c r="L31" i="1"/>
  <c r="J48" i="1" l="1"/>
  <c r="J13" i="1"/>
  <c r="J52" i="1"/>
  <c r="J45" i="1"/>
  <c r="J51" i="1"/>
  <c r="J37" i="1"/>
  <c r="J54" i="1"/>
  <c r="J41" i="1"/>
  <c r="J35" i="1"/>
  <c r="J26" i="1"/>
  <c r="J36" i="1"/>
  <c r="J21" i="1"/>
  <c r="J53" i="1"/>
  <c r="J39" i="1"/>
  <c r="J25" i="1"/>
  <c r="J9" i="1"/>
  <c r="J19" i="1"/>
  <c r="J24" i="1"/>
  <c r="J23" i="1"/>
  <c r="J43" i="1"/>
  <c r="J8" i="1"/>
  <c r="J40" i="1"/>
  <c r="J15" i="1"/>
  <c r="J59" i="1"/>
  <c r="J49" i="1"/>
  <c r="J30" i="1"/>
  <c r="J29" i="1"/>
  <c r="J55" i="1"/>
  <c r="J38" i="1"/>
  <c r="J20" i="1"/>
  <c r="J44" i="1"/>
  <c r="J22" i="1"/>
  <c r="J32" i="1"/>
  <c r="J58" i="1"/>
  <c r="J28" i="1"/>
  <c r="J27" i="1"/>
  <c r="J50" i="1"/>
  <c r="J7" i="1"/>
  <c r="J33" i="1"/>
  <c r="J16" i="1"/>
  <c r="J17" i="1"/>
  <c r="J18" i="1"/>
  <c r="J47" i="1"/>
  <c r="J57" i="1"/>
  <c r="J12" i="1"/>
  <c r="J42" i="1"/>
  <c r="J46" i="1"/>
  <c r="J56" i="1"/>
  <c r="J31" i="1"/>
  <c r="J34" i="1"/>
  <c r="J4" i="1"/>
  <c r="J6" i="1"/>
  <c r="J11" i="1"/>
  <c r="J14" i="1"/>
  <c r="J10"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478">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futureMetadata>
  <cellMetadata count="1">
    <bk>
      <rc t="1" v="0"/>
    </bk>
  </cellMetadata>
  <valueMetadata count="147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valueMetadata>
</metadata>
</file>

<file path=xl/sharedStrings.xml><?xml version="1.0" encoding="utf-8"?>
<sst xmlns="http://schemas.openxmlformats.org/spreadsheetml/2006/main" count="180" uniqueCount="72">
  <si>
    <t>US Market ETF</t>
  </si>
  <si>
    <t>Relative Strength</t>
  </si>
  <si>
    <t>% Change D</t>
  </si>
  <si>
    <t>RS 1 Day</t>
  </si>
  <si>
    <t>% Rank last 27 Days</t>
  </si>
  <si>
    <t>% 1 Week</t>
  </si>
  <si>
    <t>% Change 5D</t>
  </si>
  <si>
    <t>% 1Month</t>
  </si>
  <si>
    <t>RS 1 Month</t>
  </si>
  <si>
    <t>% 23Days ago</t>
  </si>
  <si>
    <t>RS 23 Days ago</t>
  </si>
  <si>
    <t>First Trading Day of the Month:</t>
  </si>
  <si>
    <t>Closing Price on the First Trading Day</t>
  </si>
  <si>
    <t>1 Month % Change</t>
  </si>
  <si>
    <t>Monday of the Current Week</t>
  </si>
  <si>
    <t>Closing Price Monday</t>
  </si>
  <si>
    <t>Calculate the % Change from Monday</t>
  </si>
  <si>
    <t>Date Friday previous week</t>
  </si>
  <si>
    <t>Closing Price Friday</t>
  </si>
  <si>
    <t>Calculate the % Change from Friday</t>
  </si>
  <si>
    <t>SPDR S&amp;P 500</t>
  </si>
  <si>
    <t>Thematic ETFs</t>
  </si>
  <si>
    <t>% WtD</t>
  </si>
  <si>
    <t>MtD</t>
  </si>
  <si>
    <t>USO</t>
  </si>
  <si>
    <t>VTV</t>
  </si>
  <si>
    <t>XOP</t>
  </si>
  <si>
    <t>ILIT</t>
  </si>
  <si>
    <t>CIBR</t>
  </si>
  <si>
    <t>HACK</t>
  </si>
  <si>
    <t>FXI</t>
  </si>
  <si>
    <t>OIH</t>
  </si>
  <si>
    <t>SIL</t>
  </si>
  <si>
    <t>URA</t>
  </si>
  <si>
    <t>MCHI</t>
  </si>
  <si>
    <t>IHAK</t>
  </si>
  <si>
    <t>VGT</t>
  </si>
  <si>
    <t>IYW</t>
  </si>
  <si>
    <t>KWEB</t>
  </si>
  <si>
    <t>IWP</t>
  </si>
  <si>
    <t>SOXX</t>
  </si>
  <si>
    <t>VONG</t>
  </si>
  <si>
    <t>MTUM</t>
  </si>
  <si>
    <t>EWT</t>
  </si>
  <si>
    <t>VOOG</t>
  </si>
  <si>
    <t>IVW</t>
  </si>
  <si>
    <t>QQQM</t>
  </si>
  <si>
    <t>GDXJ</t>
  </si>
  <si>
    <t>SPYG</t>
  </si>
  <si>
    <t>QQQ</t>
  </si>
  <si>
    <t>MGK</t>
  </si>
  <si>
    <t>VFH</t>
  </si>
  <si>
    <t>VV</t>
  </si>
  <si>
    <t>EEM</t>
  </si>
  <si>
    <t>VOO</t>
  </si>
  <si>
    <t>SLV</t>
  </si>
  <si>
    <t>GDX</t>
  </si>
  <si>
    <t>SPEM</t>
  </si>
  <si>
    <t>IEMG</t>
  </si>
  <si>
    <t>VWO</t>
  </si>
  <si>
    <t>GLD</t>
  </si>
  <si>
    <t>EWJ</t>
  </si>
  <si>
    <t>NOBL</t>
  </si>
  <si>
    <t>VEU</t>
  </si>
  <si>
    <t>VXUS</t>
  </si>
  <si>
    <t>AGG</t>
  </si>
  <si>
    <t>IDEV</t>
  </si>
  <si>
    <t>IEFA</t>
  </si>
  <si>
    <t>IEF</t>
  </si>
  <si>
    <t>TIP</t>
  </si>
  <si>
    <t>GBTC</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</si>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</sst>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dd/mm/yy;@"/>
  </numFmts>
  <fonts count="6" x14ac:knownFonts="1">
    <font>
      <sz val="11"/>
      <color theme="1"/>
      <name val="Aptos Narrow"/>
      <family val="2"/>
      <scheme val="minor"/>
    </font>
    <font>
      <sz val="8"/>
      <color theme="1"/>
      <name val="Aptos Narrow"/>
      <family val="2"/>
      <scheme val="minor"/>
    </font>
    <font>
      <sz val="8"/>
      <color theme="1"/>
      <name val="Calibri Light"/>
      <family val="2"/>
    </font>
    <font>
      <sz val="11"/>
      <color rgb="FF000000"/>
      <name val="Aptos Narrow"/>
      <family val="2"/>
    </font>
    <font>
      <sz val="8"/>
      <color rgb="FF000000"/>
      <name val="Calibri Light"/>
      <family val="2"/>
    </font>
    <font>
      <sz val="11"/>
      <color indexed="57"/>
      <name val="Aptos Narrow"/>
      <family val="2"/>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7">
    <xf numFmtId="0" fontId="0" fillId="0" borderId="0" xfId="0"/>
    <xf numFmtId="0" fontId="1" fillId="0" borderId="0" xfId="0" applyFont="1"/>
    <xf numFmtId="0" fontId="2" fillId="0" borderId="0" xfId="0" applyFont="1"/>
    <xf numFmtId="9" fontId="2" fillId="0" borderId="0" xfId="0" applyNumberFormat="1" applyFont="1"/>
    <xf numFmtId="0" fontId="2" fillId="2" borderId="1" xfId="0" applyFont="1" applyFill="1" applyBorder="1"/>
    <xf numFmtId="9" fontId="2" fillId="2" borderId="1" xfId="0" applyNumberFormat="1" applyFont="1" applyFill="1" applyBorder="1"/>
    <xf numFmtId="10" fontId="2" fillId="0" borderId="2" xfId="0" applyNumberFormat="1" applyFont="1" applyBorder="1"/>
    <xf numFmtId="164" fontId="2" fillId="0" borderId="0" xfId="0" applyNumberFormat="1" applyFont="1" applyAlignment="1">
      <alignment wrapText="1"/>
    </xf>
    <xf numFmtId="165" fontId="2" fillId="0" borderId="0" xfId="0" applyNumberFormat="1" applyFont="1" applyAlignment="1">
      <alignment wrapText="1"/>
    </xf>
    <xf numFmtId="10" fontId="2" fillId="0" borderId="0" xfId="0" applyNumberFormat="1" applyFont="1" applyAlignment="1">
      <alignment wrapText="1"/>
    </xf>
    <xf numFmtId="14" fontId="1" fillId="0" borderId="0" xfId="0" applyNumberFormat="1" applyFont="1"/>
    <xf numFmtId="2" fontId="2" fillId="0" borderId="0" xfId="0" applyNumberFormat="1" applyFont="1" applyAlignment="1">
      <alignment wrapText="1"/>
    </xf>
    <xf numFmtId="10" fontId="1" fillId="0" borderId="0" xfId="0" applyNumberFormat="1" applyFont="1"/>
    <xf numFmtId="0" fontId="2" fillId="2" borderId="3" xfId="0" applyFont="1" applyFill="1" applyBorder="1"/>
    <xf numFmtId="0" fontId="4" fillId="0" borderId="0" xfId="0" applyFont="1" applyAlignment="1">
      <alignment vertical="center"/>
    </xf>
    <xf numFmtId="10" fontId="2" fillId="0" borderId="4" xfId="0" applyNumberFormat="1" applyFont="1" applyBorder="1"/>
    <xf numFmtId="9" fontId="2" fillId="2" borderId="3" xfId="0" applyNumberFormat="1"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microsoft.com/office/2017/06/relationships/rdRichValueTypes" Target="richData/rdRichValueTypes.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Structure" Target="richData/rdsupportingpropertybagstructure.xml"/><Relationship Id="rId5" Type="http://schemas.openxmlformats.org/officeDocument/2006/relationships/sharedStrings" Target="sharedString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styles" Target="styles.xml"/><Relationship Id="rId9" Type="http://schemas.microsoft.com/office/2017/06/relationships/rdArray" Target="richData/rdarray.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5443</xdr:colOff>
          <xdr:row>0</xdr:row>
          <xdr:rowOff>38100</xdr:rowOff>
        </xdr:from>
        <xdr:to>
          <xdr:col>8</xdr:col>
          <xdr:colOff>647700</xdr:colOff>
          <xdr:row>0</xdr:row>
          <xdr:rowOff>179614</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CH" sz="1100" b="0" i="0" u="none" strike="noStrike" baseline="0">
                  <a:solidFill>
                    <a:srgbClr val="339966"/>
                  </a:solidFill>
                  <a:latin typeface="Aptos Narrow"/>
                </a:rPr>
                <a:t>Sort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0</xdr:row>
          <xdr:rowOff>27214</xdr:rowOff>
        </xdr:from>
        <xdr:to>
          <xdr:col>7</xdr:col>
          <xdr:colOff>0</xdr:colOff>
          <xdr:row>0</xdr:row>
          <xdr:rowOff>185057</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CH" sz="1100" b="0" i="0" u="none" strike="noStrike" baseline="0">
                  <a:solidFill>
                    <a:srgbClr val="339966"/>
                  </a:solidFill>
                  <a:latin typeface="Aptos Narrow"/>
                </a:rPr>
                <a:t>Sort 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1703614</xdr:colOff>
          <xdr:row>0</xdr:row>
          <xdr:rowOff>43543</xdr:rowOff>
        </xdr:from>
        <xdr:to>
          <xdr:col>4</xdr:col>
          <xdr:colOff>0</xdr:colOff>
          <xdr:row>0</xdr:row>
          <xdr:rowOff>179614</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CH" sz="1100" b="0" i="0" u="none" strike="noStrike" baseline="0">
                  <a:solidFill>
                    <a:srgbClr val="339966"/>
                  </a:solidFill>
                  <a:latin typeface="Aptos Narrow"/>
                </a:rPr>
                <a:t>Sort 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16329</xdr:colOff>
          <xdr:row>1</xdr:row>
          <xdr:rowOff>21772</xdr:rowOff>
        </xdr:from>
        <xdr:to>
          <xdr:col>7</xdr:col>
          <xdr:colOff>566057</xdr:colOff>
          <xdr:row>1</xdr:row>
          <xdr:rowOff>163286</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CH" sz="1100" b="0" i="0" u="none" strike="noStrike" baseline="0">
                  <a:solidFill>
                    <a:srgbClr val="000000"/>
                  </a:solidFill>
                  <a:latin typeface="Aptos Narrow"/>
                </a:rPr>
                <a:t>Sort H HButton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21773</xdr:colOff>
          <xdr:row>1</xdr:row>
          <xdr:rowOff>32657</xdr:rowOff>
        </xdr:from>
        <xdr:to>
          <xdr:col>10</xdr:col>
          <xdr:colOff>598715</xdr:colOff>
          <xdr:row>1</xdr:row>
          <xdr:rowOff>152400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CH" sz="1100" b="0" i="0" u="none" strike="noStrike" baseline="0">
                  <a:solidFill>
                    <a:srgbClr val="000000"/>
                  </a:solidFill>
                  <a:latin typeface="Aptos Narrow"/>
                </a:rPr>
                <a:t>Sort K</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220">
  <a r="1">
    <v t="i">0</v>
  </a>
  <a r="1">
    <v>26.9</v>
  </a>
  <a r="1">
    <v>27.6008</v>
  </a>
  <a r="1" c="27">
    <v t="i">0</v>
    <v t="i">3</v>
    <v t="i">4</v>
    <v t="i">5</v>
    <v t="i">6</v>
    <v t="i">7</v>
    <v t="i">10</v>
    <v t="i">11</v>
    <v t="i">12</v>
    <v t="i">13</v>
    <v t="i">14</v>
    <v t="i">17</v>
    <v t="i">18</v>
    <v t="i">19</v>
    <v t="i">20</v>
    <v t="i">21</v>
    <v t="i">24</v>
    <v t="i">25</v>
    <v t="i">26</v>
    <v t="i">27</v>
    <v t="i">28</v>
    <v t="i">31</v>
    <v t="i">32</v>
    <v t="i">33</v>
    <v t="i">34</v>
    <v t="i">35</v>
    <v t="i">38</v>
  </a>
  <a r="1" c="27">
    <v>24.33</v>
    <v>24.85</v>
    <v>24.75</v>
    <v>25.19</v>
    <v>25.588999999999999</v>
    <v>26.02</v>
    <v>26.125</v>
    <v>26.273299999999999</v>
    <v>26.41</v>
    <v>26.97</v>
    <v>26.99</v>
    <v>26.95</v>
    <v>26.89</v>
    <v>26.82</v>
    <v>26.6</v>
    <v>26.759599999999999</v>
    <v>26.9</v>
    <v>26.52</v>
    <v>26.58</v>
    <v>26.52</v>
    <v>27.11</v>
    <v>26.97</v>
    <v>27.29</v>
    <v>27.49</v>
    <v>27.14</v>
    <v>27.6008</v>
    <v>27.8</v>
  </a>
  <a r="1">
    <v>27.8</v>
  </a>
  <a r="1" c="27">
    <v>533.16999999999996</v>
    <v>540.37</v>
    <v>545.85</v>
    <v>561.58000000000004</v>
    <v>565.9</v>
    <v>569.24</v>
    <v>565.9</v>
    <v>565.61</v>
    <v>563</v>
    <v>579.65</v>
    <v>577.62</v>
    <v>577.41999999999996</v>
    <v>582.63</v>
    <v>583.02</v>
    <v>590.25</v>
    <v>584.96</v>
    <v>586.52</v>
    <v>571.78</v>
    <v>575.38</v>
    <v>577.64</v>
    <v>585.04</v>
    <v>580.84</v>
    <v>591.42999999999995</v>
    <v>598.04999999999995</v>
    <v>598.59</v>
    <v>600.44000000000005</v>
    <v>607.88</v>
  </a>
  <a r="1">
    <v>586.52</v>
  </a>
  <a r="1">
    <v>600.44000000000005</v>
  </a>
  <a r="1">
    <v>607.88</v>
  </a>
  <a r="1">
    <v>20.72</v>
  </a>
  <a r="1" c="27">
    <v>18.59</v>
    <v>19.079999999999998</v>
    <v>18.91</v>
    <v>18.93</v>
    <v>19.190000000000001</v>
    <v>19.28</v>
    <v>19.309999999999999</v>
    <v>19.66</v>
    <v>19.68</v>
    <v>19.809999999999999</v>
    <v>19.79</v>
    <v>19.77</v>
    <v>20.11</v>
    <v>19.89</v>
    <v>20.8</v>
    <v>20.84</v>
    <v>20.72</v>
    <v>20.46</v>
    <v>20.22</v>
    <v>20.04</v>
    <v>20.71</v>
    <v>20.67</v>
    <v>20.83</v>
    <v>20.77</v>
    <v>20.86</v>
    <v>21.06</v>
    <v>21.24</v>
  </a>
  <a r="1">
    <v>21.06</v>
  </a>
  <a r="1">
    <v>21.24</v>
  </a>
  <a r="1">
    <v>98.69</v>
  </a>
  <a r="1">
    <v>97.82</v>
  </a>
  <a r="1">
    <v>96.52</v>
  </a>
  <a r="1" c="27">
    <v>89.12</v>
    <v>90.14</v>
    <v>90.92</v>
    <v>92.91</v>
    <v>93.99</v>
    <v>94.42</v>
    <v>94.1</v>
    <v>94.2</v>
    <v>93.87</v>
    <v>96.11</v>
    <v>95.89</v>
    <v>96.08</v>
    <v>96.5</v>
    <v>96.64</v>
    <v>96.65</v>
    <v>96.13</v>
    <v>96.52</v>
    <v>95.27</v>
    <v>95.38</v>
    <v>95.39</v>
    <v>96.44</v>
    <v>95.41</v>
    <v>96.95</v>
    <v>97.54</v>
    <v>97.59</v>
    <v>97.82</v>
    <v>98.69</v>
  </a>
  <a r="1">
    <v>68.28</v>
  </a>
  <a r="1">
    <v>71.67</v>
  </a>
  <a r="1" c="27">
    <v>63.06</v>
    <v>63.45</v>
    <v>63.9</v>
    <v>64.66</v>
    <v>65.52</v>
    <v>66.28</v>
    <v>66.709999999999994</v>
    <v>66.56</v>
    <v>65.989999999999995</v>
    <v>67.14</v>
    <v>68</v>
    <v>68.56</v>
    <v>68.56</v>
    <v>68.05</v>
    <v>68.290000000000006</v>
    <v>68.08</v>
    <v>68.28</v>
    <v>67.33</v>
    <v>67.656199999999998</v>
    <v>67.430000000000007</v>
    <v>68.58</v>
    <v>67.825000000000003</v>
    <v>68.930000000000007</v>
    <v>70.39</v>
    <v>71.430000000000007</v>
    <v>71.67</v>
    <v>71.75</v>
  </a>
  <a r="1">
    <v>71.75</v>
  </a>
  <a r="1">
    <v>36.130000000000003</v>
  </a>
  <a r="1">
    <v>35.94</v>
  </a>
  <a r="1" c="27">
    <v>30.41</v>
    <v>32.51</v>
    <v>33</v>
    <v>32.799999999999997</v>
    <v>33.25</v>
    <v>34.04</v>
    <v>32.979999999999997</v>
    <v>34.1</v>
    <v>34.15</v>
    <v>36.01</v>
    <v>35.799999999999997</v>
    <v>36.04</v>
    <v>36.64</v>
    <v>35.97</v>
    <v>36.840000000000003</v>
    <v>37.39</v>
    <v>36.130000000000003</v>
    <v>35.130000000000003</v>
    <v>34.24</v>
    <v>34.72</v>
    <v>35.520000000000003</v>
    <v>36.06</v>
    <v>35.4</v>
    <v>34.68</v>
    <v>33.950000000000003</v>
    <v>35.94</v>
    <v>37.57</v>
  </a>
  <a r="1">
    <v>37.57</v>
  </a>
  <a r="1">
    <v>261.27999999999997</v>
  </a>
  <a r="1">
    <v>245.45</v>
  </a>
  <a r="1">
    <v>256.69</v>
  </a>
  <a r="1" c="27">
    <v>215</v>
    <v>219.86</v>
    <v>221.94</v>
    <v>233.4</v>
    <v>233.9</v>
    <v>236.91</v>
    <v>233.8</v>
    <v>233.72</v>
    <v>231.06</v>
    <v>241.09</v>
    <v>237.9</v>
    <v>238.95</v>
    <v>243.4</v>
    <v>245.54</v>
    <v>252.62</v>
    <v>247.74</v>
    <v>245.45</v>
    <v>238.88</v>
    <v>242.32</v>
    <v>244.55</v>
    <v>247.82</v>
    <v>248.22</v>
    <v>252.52</v>
    <v>255.15</v>
    <v>254.65</v>
    <v>256.69</v>
    <v>261.27999999999997</v>
  </a>
  <a r="1" c="27">
    <v>247.72</v>
    <v>250.68</v>
    <v>251.74</v>
    <v>254.14</v>
    <v>256.57</v>
    <v>257.94</v>
    <v>258.31</v>
    <v>258.35000000000002</v>
    <v>257.56</v>
    <v>262.05</v>
    <v>261.42</v>
    <v>262.22000000000003</v>
    <v>262.98</v>
    <v>262.26</v>
    <v>263.39999999999998</v>
    <v>262.11</v>
    <v>263.29000000000002</v>
    <v>260.95</v>
    <v>260.98</v>
    <v>260.32</v>
    <v>263.01</v>
    <v>260.27</v>
    <v>263.10000000000002</v>
    <v>264.74</v>
    <v>264.51</v>
    <v>266</v>
    <v>268.32</v>
  </a>
  <a r="1">
    <v>266</v>
  </a>
  <a r="1">
    <v>263.29000000000002</v>
  </a>
  <a r="1">
    <v>268.32</v>
  </a>
  <a r="1">
    <v>109.48</v>
  </a>
  <a r="1">
    <v>109.37</v>
  </a>
  <a r="1" c="27">
    <v>109.49</v>
    <v>109.74</v>
    <v>109.98</v>
    <v>110.05</v>
    <v>110.07</v>
    <v>110.44</v>
    <v>110.82</v>
    <v>110.78</v>
    <v>110.37</v>
    <v>110.7</v>
    <v>110.55</v>
    <v>110.56</v>
    <v>110.83</v>
    <v>110.41</v>
    <v>110.27</v>
    <v>110.54</v>
    <v>110.47</v>
    <v>110.71</v>
    <v>110.61</v>
    <v>110.14</v>
    <v>109.39</v>
    <v>109.27</v>
    <v>109.45</v>
    <v>109.25</v>
    <v>109.47</v>
    <v>109.48</v>
    <v>109.37</v>
  </a>
  <a r="1">
    <v>110.47</v>
  </a>
  <a r="1">
    <v>37.520000000000003</v>
  </a>
  <a r="1">
    <v>38.880000000000003</v>
  </a>
  <a r="1" c="27">
    <v>32.35</v>
    <v>33.5</v>
    <v>34.24</v>
    <v>34.49</v>
    <v>35</v>
    <v>35.64</v>
    <v>35.39</v>
    <v>35.67</v>
    <v>35.700000000000003</v>
    <v>36.5</v>
    <v>36.47</v>
    <v>36.729999999999997</v>
    <v>37.51</v>
    <v>37.18</v>
    <v>38.159999999999997</v>
    <v>38.299999999999997</v>
    <v>37.520000000000003</v>
    <v>36.5</v>
    <v>36.65</v>
    <v>36.58</v>
    <v>37.6</v>
    <v>37.46</v>
    <v>37.65</v>
    <v>37.42</v>
    <v>37.200000000000003</v>
    <v>38.880000000000003</v>
    <v>39.770000000000003</v>
  </a>
  <a r="1">
    <v>39.770000000000003</v>
  </a>
  <a r="1">
    <v>96.9</v>
  </a>
  <a r="1">
    <v>95.75</v>
  </a>
  <a r="1" c="27">
    <v>88.22</v>
    <v>89.25</v>
    <v>90.06</v>
    <v>91.88</v>
    <v>92.92</v>
    <v>93.4</v>
    <v>93.11</v>
    <v>93.14</v>
    <v>92.82</v>
    <v>95.11</v>
    <v>94.9</v>
    <v>95.08</v>
    <v>95.53</v>
    <v>95.53</v>
    <v>95.82</v>
    <v>95.26</v>
    <v>95.75</v>
    <v>94.41</v>
    <v>94.58</v>
    <v>94.64</v>
    <v>95.64</v>
    <v>94.64</v>
    <v>96.14</v>
    <v>96.74</v>
    <v>96.69</v>
    <v>96.9</v>
    <v>97.8</v>
  </a>
  <a r="1">
    <v>97.8</v>
  </a>
  <a r="1">
    <v>50.304000000000002</v>
  </a>
  <a r="1">
    <v>48.74</v>
  </a>
  <a r="1">
    <v>50.509900000000002</v>
  </a>
  <a r="1" c="27">
    <v>46.03</v>
    <v>46.201999999999998</v>
    <v>46.14</v>
    <v>46.51</v>
    <v>46.908700000000003</v>
    <v>47.4206</v>
    <v>47.84</v>
    <v>47.89</v>
    <v>47.34</v>
    <v>48.25</v>
    <v>48.52</v>
    <v>48.71</v>
    <v>48.75</v>
    <v>48.26</v>
    <v>48.53</v>
    <v>48.49</v>
    <v>48.74</v>
    <v>47.84</v>
    <v>47.88</v>
    <v>47.715299999999999</v>
    <v>48.31</v>
    <v>47.66</v>
    <v>48.48</v>
    <v>49.37</v>
    <v>49.96</v>
    <v>50.304000000000002</v>
    <v>50.509900000000002</v>
  </a>
  <a r="1">
    <v>493.36</v>
  </a>
  <a r="1" c="27">
    <v>448.69</v>
    <v>454.46</v>
    <v>458.66</v>
    <v>468.62</v>
    <v>473.22</v>
    <v>475.34</v>
    <v>473.24</v>
    <v>473.49</v>
    <v>471.44</v>
    <v>483.36</v>
    <v>482.44</v>
    <v>483.04</v>
    <v>485.37</v>
    <v>485.82</v>
    <v>489.47</v>
    <v>486.75</v>
    <v>488.07</v>
    <v>481.27</v>
    <v>481.95</v>
    <v>481.59</v>
    <v>487.32</v>
    <v>482.1</v>
    <v>489.3</v>
    <v>493.15</v>
    <v>492.59</v>
    <v>493.36</v>
    <v>497.5</v>
  </a>
  <a r="1">
    <v>488.07</v>
  </a>
  <a r="1">
    <v>497.5</v>
  </a>
  <a r="1">
    <v>48.81</v>
  </a>
  <a r="1">
    <v>49.53</v>
  </a>
  <a r="1" c="27">
    <v>42.62</v>
    <v>43.25</v>
    <v>44.1</v>
    <v>44.63</v>
    <v>47.59</v>
    <v>48.98</v>
    <v>48.99</v>
    <v>48.4</v>
    <v>47.58</v>
    <v>48.71</v>
    <v>49.71</v>
    <v>49.2</v>
    <v>51.12</v>
    <v>50.53</v>
    <v>51.19</v>
    <v>49.62</v>
    <v>48.81</v>
    <v>49.76</v>
    <v>49.5</v>
    <v>48.52</v>
    <v>48.64</v>
    <v>47.78</v>
    <v>47.77</v>
    <v>47.51</v>
    <v>49.27</v>
    <v>49.53</v>
    <v>49.6</v>
  </a>
  <a r="1">
    <v>49.6</v>
  </a>
  <a r="1">
    <v>573.76</v>
  </a>
  <a r="1">
    <v>579.58000000000004</v>
  </a>
  <a r="1" c="27">
    <v>540.36</v>
    <v>546.41</v>
    <v>548.79</v>
    <v>554.41999999999996</v>
    <v>559.09</v>
    <v>562.01</v>
    <v>562.84</v>
    <v>563.07000000000005</v>
    <v>561.4</v>
    <v>570.98</v>
    <v>568.25</v>
    <v>569.66999999999996</v>
    <v>571.29999999999995</v>
    <v>570.04</v>
    <v>572.29999999999995</v>
    <v>571.47</v>
    <v>573.76</v>
    <v>568.62</v>
    <v>568.86</v>
    <v>567.82000000000005</v>
    <v>572.98</v>
    <v>567.79999999999995</v>
    <v>573.16999999999996</v>
    <v>577.14</v>
    <v>576.13</v>
    <v>579.58000000000004</v>
    <v>584.32000000000005</v>
  </a>
  <a r="1">
    <v>584.32000000000005</v>
  </a>
  <a r="1">
    <v>28.41</v>
  </a>
  <a r="1">
    <v>28.8</v>
  </a>
  <a r="1" c="27">
    <v>25.48</v>
    <v>25.85</v>
    <v>25.94</v>
    <v>26.12</v>
    <v>27.27</v>
    <v>28.02</v>
    <v>28.07</v>
    <v>27.96</v>
    <v>27.24</v>
    <v>28.09</v>
    <v>28.41</v>
    <v>27.98</v>
    <v>29.38</v>
    <v>29.06</v>
    <v>29.26</v>
    <v>28.86</v>
    <v>28.41</v>
    <v>28.58</v>
    <v>29</v>
    <v>29.23</v>
    <v>29.36</v>
    <v>28.93</v>
    <v>28.01</v>
    <v>27.86</v>
    <v>28.38</v>
    <v>28.8</v>
    <v>28.54</v>
  </a>
  <a r="1">
    <v>28.54</v>
  </a>
  <a r="1">
    <v>131.52000000000001</v>
  </a>
  <a r="1">
    <v>140.71</v>
  </a>
  <a r="1">
    <v>138.79</v>
  </a>
  <a r="1" c="27">
    <v>129.12</v>
    <v>128.32</v>
    <v>126.92</v>
    <v>126.87</v>
    <v>127.25</v>
    <v>128.55000000000001</v>
    <v>129.86000000000001</v>
    <v>132.19</v>
    <v>132.66999999999999</v>
    <v>134.82</v>
    <v>134.81</v>
    <v>135.13999999999999</v>
    <v>134.28</v>
    <v>131.1</v>
    <v>127.95</v>
    <v>131.13999999999999</v>
    <v>131.52000000000001</v>
    <v>133.72999999999999</v>
    <v>135.36000000000001</v>
    <v>139.81</v>
    <v>140.79</v>
    <v>141.66</v>
    <v>137.77000000000001</v>
    <v>137.79</v>
    <v>139.16</v>
    <v>140.71</v>
    <v>138.79</v>
  </a>
  <a r="1" c="27">
    <v>42.6</v>
    <v>45.51</v>
    <v>46.19</v>
    <v>45.9</v>
    <v>46.53</v>
    <v>47.64</v>
    <v>46.14</v>
    <v>47.77</v>
    <v>47.79</v>
    <v>50.38</v>
    <v>50.03</v>
    <v>50.41</v>
    <v>51.23</v>
    <v>50.3</v>
    <v>51.54</v>
    <v>52.31</v>
    <v>50.5</v>
    <v>49.12</v>
    <v>47.92</v>
    <v>48.58</v>
    <v>49.68</v>
    <v>50.44</v>
    <v>49.52</v>
    <v>48.52</v>
    <v>47.49</v>
    <v>50.27</v>
    <v>52.48</v>
  </a>
  <a r="1">
    <v>52.48</v>
  </a>
  <a r="1">
    <v>50.27</v>
  </a>
  <a r="1">
    <v>50.5</v>
  </a>
  <a r="1">
    <v>33.369999999999997</v>
  </a>
  <a r="1" c="27">
    <v>25.5</v>
    <v>25.52</v>
    <v>25.46</v>
    <v>25.72</v>
    <v>25.71</v>
    <v>25.86</v>
    <v>26.01</v>
    <v>26.34</v>
    <v>26.19</v>
    <v>27.13</v>
    <v>27.15</v>
    <v>27.68</v>
    <v>30.4</v>
    <v>29.56</v>
    <v>31.92</v>
    <v>32.17</v>
    <v>31.78</v>
    <v>33.1</v>
    <v>35.479999999999997</v>
    <v>34.5</v>
    <v>35.71</v>
    <v>36.69</v>
    <v>33.33</v>
    <v>32.79</v>
    <v>33.22</v>
    <v>33.369999999999997</v>
    <v>32.74</v>
  </a>
  <a r="1">
    <v>32.74</v>
  </a>
  <a r="1">
    <v>31.78</v>
  </a>
  <a r="1">
    <v>57.63</v>
  </a>
  <a r="1" c="27">
    <v>52.53</v>
    <v>52.99</v>
    <v>52.84</v>
    <v>53.18</v>
    <v>53.61</v>
    <v>53.86</v>
    <v>54.11</v>
    <v>54.13</v>
    <v>53.94</v>
    <v>55.04</v>
    <v>54.9</v>
    <v>55.32</v>
    <v>57.09</v>
    <v>56.43</v>
    <v>58.37</v>
    <v>58.22</v>
    <v>57.41</v>
    <v>57.76</v>
    <v>58.76</v>
    <v>58.01</v>
    <v>58.53</v>
    <v>58.91</v>
    <v>57.6</v>
    <v>57.29</v>
    <v>57.42</v>
    <v>57.82</v>
    <v>57.63</v>
  </a>
  <a r="1">
    <v>57.41</v>
  </a>
  <a r="1">
    <v>57.82</v>
  </a>
  <a r="1">
    <v>102.26</v>
  </a>
  <a r="1">
    <v>106.35</v>
  </a>
  <a r="1" c="27">
    <v>93.47</v>
    <v>94.16</v>
    <v>94.58</v>
    <v>96.35</v>
    <v>97.72</v>
    <v>98.43</v>
    <v>99.36</v>
    <v>99.33</v>
    <v>99.09</v>
    <v>101.37</v>
    <v>101.8</v>
    <v>102.21</v>
    <v>102.35</v>
    <v>101.96</v>
    <v>102.48</v>
    <v>102.08</v>
    <v>102.26</v>
    <v>99.98</v>
    <v>100.88</v>
    <v>100.74</v>
    <v>103.19</v>
    <v>101.51</v>
    <v>102.81</v>
    <v>104.52</v>
    <v>105.76</v>
    <v>106.35</v>
    <v>106.59</v>
  </a>
  <a r="1">
    <v>106.59</v>
  </a>
  <a r="1" c="27">
    <v>101.19</v>
    <v>101.34</v>
    <v>101.65</v>
    <v>101.62</v>
    <v>101.53</v>
    <v>101.74</v>
    <v>101.98</v>
    <v>101.88</v>
    <v>101.56</v>
    <v>101.57</v>
    <v>101.48</v>
    <v>101.44</v>
    <v>101.58</v>
    <v>101.19</v>
    <v>101.21</v>
    <v>101.5</v>
    <v>101.27</v>
    <v>101.23</v>
    <v>101.02</v>
    <v>100.61</v>
    <v>99.96</v>
    <v>99.62</v>
    <v>99.79</v>
    <v>99.53</v>
    <v>99.47</v>
    <v>99.5</v>
    <v>99.41</v>
  </a>
  <a r="1">
    <v>99.5</v>
  </a>
  <a r="1">
    <v>99.41</v>
  </a>
  <a r="1">
    <v>101.27</v>
  </a>
  <a r="1">
    <v>47.85</v>
  </a>
  <a r="1" c="27">
    <v>43.5</v>
    <v>43.8</v>
    <v>43.7</v>
    <v>43.97</v>
    <v>44.26</v>
    <v>44.46</v>
    <v>44.63</v>
    <v>44.68</v>
    <v>44.52</v>
    <v>45.45</v>
    <v>45.29</v>
    <v>45.66</v>
    <v>47.25</v>
    <v>46.77</v>
    <v>48.26</v>
    <v>48.25</v>
    <v>47.85</v>
    <v>48.21</v>
    <v>49.21</v>
    <v>48.47</v>
    <v>49.06</v>
    <v>49.49</v>
    <v>48.04</v>
    <v>47.71</v>
    <v>47.81</v>
    <v>48.15</v>
    <v>47.92</v>
  </a>
  <a r="1">
    <v>48.15</v>
  </a>
  <a r="1">
    <v>47.92</v>
  </a>
  <a r="1">
    <v>44.9</v>
  </a>
  <a r="1">
    <v>43.59</v>
  </a>
  <a r="1" c="27">
    <v>35.01</v>
    <v>35.369999999999997</v>
    <v>35.090000000000003</v>
    <v>37.71</v>
    <v>37.68</v>
    <v>37.14</v>
    <v>37.28</v>
    <v>37.25</v>
    <v>36.81</v>
    <v>37.630000000000003</v>
    <v>36.770000000000003</v>
    <v>37.26</v>
    <v>39.47</v>
    <v>38.94</v>
    <v>41.11</v>
    <v>42.51</v>
    <v>43.59</v>
    <v>44.11</v>
    <v>45.4</v>
    <v>44.49</v>
    <v>46.07</v>
    <v>48.97</v>
    <v>46.91</v>
    <v>45.73</v>
    <v>45.74</v>
    <v>44.9</v>
    <v>44.03</v>
  </a>
  <a r="1">
    <v>44.03</v>
  </a>
  <a r="1">
    <v>11.39</v>
  </a>
  <a r="1">
    <v>11.88</v>
  </a>
  <a r="1">
    <v>11.62</v>
  </a>
  <a r="1" c="27">
    <v>8.74</v>
    <v>8.74</v>
    <v>8.66</v>
    <v>9.6</v>
    <v>9.6</v>
    <v>9.39</v>
    <v>9.4718999999999998</v>
    <v>9.49</v>
    <v>9.3800000000000008</v>
    <v>9.57</v>
    <v>9.2899999999999991</v>
    <v>9.43</v>
    <v>10.18</v>
    <v>9.9700000000000006</v>
    <v>10.69</v>
    <v>11.18</v>
    <v>11.39</v>
    <v>11.49</v>
    <v>11.82</v>
    <v>11.49</v>
    <v>11.755000000000001</v>
    <v>12.63</v>
    <v>12.115</v>
    <v>11.98</v>
    <v>11.96</v>
    <v>11.88</v>
    <v>11.62</v>
  </a>
  <a r="1">
    <v>52.64</v>
  </a>
  <a r="1">
    <v>50.91</v>
  </a>
  <a r="1" c="27">
    <v>40.71</v>
    <v>40.619999999999997</v>
    <v>40.43</v>
    <v>40.78</v>
    <v>40.770000000000003</v>
    <v>40.9</v>
    <v>41.1</v>
    <v>41.47</v>
    <v>41.27</v>
    <v>42.65</v>
    <v>42.66</v>
    <v>43.28</v>
    <v>47.16</v>
    <v>46.08</v>
    <v>50.1</v>
    <v>50.99</v>
    <v>50.91</v>
    <v>52.98</v>
    <v>56.48</v>
    <v>54.99</v>
    <v>57</v>
    <v>59.67</v>
    <v>53.22</v>
    <v>51.965000000000003</v>
    <v>52.35</v>
    <v>52.64</v>
    <v>51.58</v>
  </a>
  <a r="1">
    <v>51.58</v>
  </a>
  <a r="1">
    <v>62.58</v>
  </a>
  <a r="1" c="27">
    <v>55.39</v>
    <v>55.7</v>
    <v>56.18</v>
    <v>56.85</v>
    <v>57.53</v>
    <v>57.97</v>
    <v>58.25</v>
    <v>57.86</v>
    <v>57.32</v>
    <v>58.53</v>
    <v>59.3</v>
    <v>59.55</v>
    <v>59.66</v>
    <v>59.26</v>
    <v>59.43</v>
    <v>59.18</v>
    <v>59.23</v>
    <v>58.36</v>
    <v>58.72</v>
    <v>58.81</v>
    <v>59.78</v>
    <v>59.16</v>
    <v>60.27</v>
    <v>61.38</v>
    <v>62.12</v>
    <v>62.52</v>
    <v>62.58</v>
  </a>
  <a r="1">
    <v>59.23</v>
  </a>
  <a r="1">
    <v>62.52</v>
  </a>
  <a r="1">
    <v>204.75</v>
  </a>
  <a r="1">
    <v>203.03</v>
  </a>
  <a r="1">
    <v>200.85</v>
  </a>
  <a r="1" c="27">
    <v>184.7</v>
    <v>187.04</v>
    <v>188.73</v>
    <v>192.8</v>
    <v>194.77</v>
    <v>195.63</v>
    <v>194.79</v>
    <v>194.9</v>
    <v>194.03</v>
    <v>198.94</v>
    <v>198.59</v>
    <v>198.8</v>
    <v>199.74</v>
    <v>199.98</v>
    <v>201.44</v>
    <v>200.32</v>
    <v>200.85</v>
    <v>198.06</v>
    <v>198.36</v>
    <v>198.2</v>
    <v>200.56</v>
    <v>198.41</v>
    <v>201.38</v>
    <v>202.97</v>
    <v>202.77</v>
    <v>203.03</v>
    <v>204.75</v>
  </a>
  <a r="1">
    <v>46.36</v>
  </a>
  <a r="1">
    <v>45.86</v>
  </a>
  <a r="1">
    <v>46.17</v>
  </a>
  <a r="1" c="27">
    <v>41.78</v>
    <v>42.13</v>
    <v>41.97</v>
    <v>42.28</v>
    <v>42.63</v>
    <v>42.83</v>
    <v>42.97</v>
    <v>43.02</v>
    <v>42.87</v>
    <v>43.78</v>
    <v>43.69</v>
    <v>44.03</v>
    <v>45.53</v>
    <v>45.05</v>
    <v>46.7</v>
    <v>46.61</v>
    <v>45.86</v>
    <v>46.19</v>
    <v>47.1</v>
    <v>46.54</v>
    <v>46.97</v>
    <v>47.36</v>
    <v>46.19</v>
    <v>45.94</v>
    <v>46.03</v>
    <v>46.36</v>
    <v>46.17</v>
  </a>
  <a r="1" c="27">
    <v>50.08</v>
    <v>51.22</v>
    <v>50.8</v>
    <v>52</v>
    <v>52.5</v>
    <v>52.55</v>
    <v>52.57</v>
    <v>52.31</v>
    <v>52.02</v>
    <v>53.71</v>
    <v>53.16</v>
    <v>53.52</v>
    <v>55.23</v>
    <v>55.01</v>
    <v>56.38</v>
    <v>55.5</v>
    <v>53.87</v>
    <v>53.51</v>
    <v>53.6</v>
    <v>53.65</v>
    <v>53.78</v>
    <v>53.69</v>
    <v>54.34</v>
    <v>54.32</v>
    <v>54.44</v>
    <v>55.09</v>
    <v>55.37</v>
  </a>
  <a r="1">
    <v>55.37</v>
  </a>
  <a r="1">
    <v>53.87</v>
  </a>
  <a r="1">
    <v>55.09</v>
  </a>
  <a r="1" c="27">
    <v>106.93</v>
    <v>108.34</v>
    <v>107.27</v>
    <v>106.89</v>
    <v>107.33</v>
    <v>108</v>
    <v>109.34</v>
    <v>109.95</v>
    <v>109.77</v>
    <v>111.21</v>
    <v>110.72</v>
    <v>110.88</v>
    <v>109.87</v>
    <v>109.13</v>
    <v>109.7</v>
    <v>109.59</v>
    <v>109.91</v>
    <v>109.2</v>
    <v>109.28</v>
    <v>108.87</v>
    <v>110.74</v>
    <v>109.43</v>
    <v>110.02</v>
    <v>111</v>
    <v>110.76</v>
    <v>113.01</v>
    <v>113.88</v>
  </a>
  <a r="1">
    <v>113.88</v>
  </a>
  <a r="1">
    <v>109.91</v>
  </a>
  <a r="1">
    <v>113.01</v>
  </a>
  <a r="1">
    <v>84.71</v>
  </a>
  <a r="1">
    <v>83.9</v>
  </a>
  <a r="1">
    <v>82.94</v>
  </a>
  <a r="1" c="27">
    <v>76.41</v>
    <v>77.27</v>
    <v>77.97</v>
    <v>79.540000000000006</v>
    <v>80.459999999999994</v>
    <v>80.86</v>
    <v>80.61</v>
    <v>80.650000000000006</v>
    <v>80.36</v>
    <v>82.35</v>
    <v>82.19</v>
    <v>82.2</v>
    <v>82.6</v>
    <v>82.72</v>
    <v>82.93</v>
    <v>82.49</v>
    <v>82.94</v>
    <v>81.739999999999995</v>
    <v>81.86</v>
    <v>81.92</v>
    <v>82.84</v>
    <v>81.97</v>
    <v>83.21</v>
    <v>83.79</v>
    <v>83.72</v>
    <v>83.9</v>
    <v>84.71</v>
  </a>
  <a r="1">
    <v>328.22</v>
  </a>
  <a r="1">
    <v>321.95</v>
  </a>
  <a r="1">
    <v>325.04000000000002</v>
  </a>
  <a r="1" c="27">
    <v>298.64999999999998</v>
    <v>302.33</v>
    <v>304.55</v>
    <v>311.01</v>
    <v>314.05</v>
    <v>314.95999999999998</v>
    <v>313.77</v>
    <v>313.95</v>
    <v>312.44</v>
    <v>320.32</v>
    <v>319.32</v>
    <v>319.92</v>
    <v>321.47000000000003</v>
    <v>322.08999999999997</v>
    <v>322.58999999999997</v>
    <v>320.36</v>
    <v>321.95</v>
    <v>316.94</v>
    <v>317.13</v>
    <v>317.72000000000003</v>
    <v>321.08</v>
    <v>317.16000000000003</v>
    <v>322.82</v>
    <v>324.88</v>
    <v>324.8</v>
    <v>325.04000000000002</v>
    <v>328.22</v>
  </a>
  <a r="1">
    <v>117.29</v>
  </a>
  <a r="1" c="27">
    <v>108.35</v>
    <v>109.84</v>
    <v>110.24</v>
    <v>111.53</v>
    <v>112.45</v>
    <v>113.75</v>
    <v>114.65</v>
    <v>115.03</v>
    <v>114.84</v>
    <v>116.77</v>
    <v>116.68</v>
    <v>117.32</v>
    <v>117.59</v>
    <v>116.97</v>
    <v>117.12</v>
    <v>117.24</v>
    <v>117.29</v>
    <v>116.4</v>
    <v>116.93</v>
    <v>116.84</v>
    <v>118.25</v>
    <v>117.29</v>
    <v>118.29</v>
    <v>119.5</v>
    <v>119.33</v>
    <v>121.16</v>
    <v>121.97</v>
  </a>
  <a r="1">
    <v>121.97</v>
  </a>
  <a r="1">
    <v>121.16</v>
  </a>
  <a r="1" c="27">
    <v>61.12</v>
    <v>61.75</v>
    <v>61.5</v>
    <v>61.85</v>
    <v>62.41</v>
    <v>62.58</v>
    <v>62.99</v>
    <v>62.79</v>
    <v>62.58</v>
    <v>63.8</v>
    <v>63.08</v>
    <v>63.41</v>
    <v>64.290000000000006</v>
    <v>63.8</v>
    <v>65.37</v>
    <v>65.08</v>
    <v>64.739999999999995</v>
    <v>64.569999999999993</v>
    <v>64.8</v>
    <v>64.12</v>
    <v>64.61</v>
    <v>64.48</v>
    <v>63.87</v>
    <v>63.8</v>
    <v>63.74</v>
    <v>64.11</v>
    <v>64.144999999999996</v>
  </a>
  <a r="1">
    <v>64.11</v>
  </a>
  <a r="1">
    <v>64.739999999999995</v>
  </a>
  <a r="1">
    <v>64.144999999999996</v>
  </a>
  <a r="1" c="27">
    <v>74.28</v>
    <v>75.06</v>
    <v>74.790000000000006</v>
    <v>75.180000000000007</v>
    <v>75.819999999999993</v>
    <v>76.010000000000005</v>
    <v>76.63</v>
    <v>76.17</v>
    <v>75.959999999999994</v>
    <v>77.459999999999994</v>
    <v>76.7</v>
    <v>77.010000000000005</v>
    <v>77.42</v>
    <v>76.989999999999995</v>
    <v>78.739999999999995</v>
    <v>78.25</v>
    <v>78.05</v>
    <v>77.42</v>
    <v>77.25</v>
    <v>76.5</v>
    <v>77.040000000000006</v>
    <v>76.58</v>
    <v>76.39</v>
    <v>76.42</v>
    <v>76.28</v>
    <v>76.73</v>
    <v>76.849999999999994</v>
  </a>
  <a r="1">
    <v>76.849999999999994</v>
  </a>
  <a r="1">
    <v>76.73</v>
  </a>
  <a r="1">
    <v>78.05</v>
  </a>
  <a r="1">
    <v>71.05</v>
  </a>
  <a r="1">
    <v>71.17</v>
  </a>
  <a r="1">
    <v>71.540000000000006</v>
  </a>
  <a r="1" c="27">
    <v>68.09</v>
    <v>69.33</v>
    <v>69.14</v>
    <v>69.56</v>
    <v>70.25</v>
    <v>69.87</v>
    <v>70.540000000000006</v>
    <v>69.709999999999994</v>
    <v>69.39</v>
    <v>71.23</v>
    <v>71.27</v>
    <v>71.7</v>
    <v>71.08</v>
    <v>70.95</v>
    <v>72.989999999999995</v>
    <v>71.08</v>
    <v>71.540000000000006</v>
    <v>71.64</v>
    <v>71.23</v>
    <v>70.95</v>
    <v>71.88</v>
    <v>71.040000000000006</v>
    <v>71.260000000000005</v>
    <v>70.89</v>
    <v>70.900000000000006</v>
    <v>71.05</v>
    <v>71.17</v>
  </a>
  <a r="1">
    <v>41.41</v>
  </a>
  <a r="1">
    <v>41.28</v>
  </a>
  <a r="1">
    <v>41.54</v>
  </a>
  <a r="1" c="27">
    <v>37.42</v>
    <v>37.72</v>
    <v>37.65</v>
    <v>37.89</v>
    <v>38.15</v>
    <v>38.31</v>
    <v>38.450000000000003</v>
    <v>38.5</v>
    <v>38.4</v>
    <v>39.200000000000003</v>
    <v>39.14</v>
    <v>39.44</v>
    <v>40.799999999999997</v>
    <v>40.380000000000003</v>
    <v>41.68</v>
    <v>41.66</v>
    <v>41.28</v>
    <v>41.67</v>
    <v>42.42</v>
    <v>41.9</v>
    <v>42.34</v>
    <v>42.82</v>
    <v>41.54</v>
    <v>41.25</v>
    <v>41.31</v>
    <v>41.54</v>
    <v>41.41</v>
  </a>
  <a r="1">
    <v>106.76</v>
  </a>
  <a r="1">
    <v>106.47</v>
  </a>
  <a r="1">
    <v>107.22</v>
  </a>
  <a r="1" c="27">
    <v>102.94</v>
    <v>104.05</v>
    <v>104.31</v>
    <v>103.84</v>
    <v>104.42</v>
    <v>105.12</v>
    <v>105.89</v>
    <v>105.68</v>
    <v>105.35</v>
    <v>105.93</v>
    <v>105.5</v>
    <v>106.28</v>
    <v>106.54</v>
    <v>105.35</v>
    <v>106.18</v>
    <v>106.56</v>
    <v>106.76</v>
    <v>106.67</v>
    <v>106.3</v>
    <v>105.37</v>
    <v>105.73</v>
    <v>104.94</v>
    <v>105.11</v>
    <v>105.66</v>
    <v>105.45</v>
    <v>106.47</v>
    <v>107.22</v>
  </a>
  <a r="1">
    <v>69.92</v>
  </a>
  <a r="1" c="27">
    <v>67.400000000000006</v>
    <v>68.069999999999993</v>
    <v>67.81</v>
    <v>68.209999999999994</v>
    <v>68.84</v>
    <v>69.02</v>
    <v>69.569999999999993</v>
    <v>69.180000000000007</v>
    <v>68.95</v>
    <v>70.31</v>
    <v>69.66</v>
    <v>69.97</v>
    <v>70.37</v>
    <v>69.98</v>
    <v>71.430000000000007</v>
    <v>71.02</v>
    <v>70.83</v>
    <v>70.42</v>
    <v>70.209999999999994</v>
    <v>69.599999999999994</v>
    <v>70.06</v>
    <v>69.63</v>
    <v>69.459999999999994</v>
    <v>69.540000000000006</v>
    <v>69.44</v>
    <v>69.77</v>
    <v>69.92</v>
  </a>
  <a r="1">
    <v>70.83</v>
  </a>
  <a r="1">
    <v>69.77</v>
  </a>
  <a r="1">
    <v>245.47</v>
  </a>
  <a r="1">
    <v>245.07</v>
  </a>
  <a r="1" c="27">
    <v>230.63</v>
    <v>231.6</v>
    <v>232.62</v>
    <v>232.25</v>
    <v>236.33</v>
    <v>238.68</v>
    <v>238.66</v>
    <v>237.34</v>
    <v>235.51</v>
    <v>239.17</v>
    <v>242.21</v>
    <v>242.68</v>
    <v>246.07</v>
    <v>245.73</v>
    <v>246.98</v>
    <v>245.02</v>
    <v>243.06</v>
    <v>245.61</v>
    <v>245.66</v>
    <v>245.49</v>
    <v>245</v>
    <v>244.17</v>
    <v>242.37</v>
    <v>241.05</v>
    <v>242.82</v>
    <v>245.47</v>
    <v>245.07</v>
  </a>
  <a r="1">
    <v>243.06</v>
  </a>
  <a r="1" c="27">
    <v>137.69999999999999</v>
    <v>139.41</v>
    <v>140.94999999999999</v>
    <v>144.91</v>
    <v>146.16</v>
    <v>146.94</v>
    <v>146.04</v>
    <v>146.11000000000001</v>
    <v>145.43</v>
    <v>149.88999999999999</v>
    <v>149.41999999999999</v>
    <v>149.26</v>
    <v>150.32</v>
    <v>150.72999999999999</v>
    <v>152.19999999999999</v>
    <v>151.01</v>
    <v>151.62</v>
    <v>148.13999999999999</v>
    <v>149.05000000000001</v>
    <v>149.71</v>
    <v>151.66</v>
    <v>150.36000000000001</v>
    <v>153.15</v>
    <v>154.52000000000001</v>
    <v>154.62</v>
    <v>155</v>
    <v>157.01</v>
  </a>
  <a r="1">
    <v>157.01</v>
  </a>
  <a r="1">
    <v>151.62</v>
  </a>
  <a r="1">
    <v>155</v>
  </a>
  <a r="1" c="27">
    <v>59.49</v>
    <v>60.07</v>
    <v>59.83</v>
    <v>60.2</v>
    <v>60.73</v>
    <v>60.92</v>
    <v>61.31</v>
    <v>61.07</v>
    <v>60.89</v>
    <v>62.06</v>
    <v>61.42</v>
    <v>61.71</v>
    <v>62.57</v>
    <v>62.09</v>
    <v>63.69</v>
    <v>63.38</v>
    <v>63</v>
    <v>62.86</v>
    <v>63.13</v>
    <v>62.43</v>
    <v>62.93</v>
    <v>62.81</v>
    <v>62.28</v>
    <v>62.18</v>
    <v>62.13</v>
    <v>62.47</v>
    <v>62.47</v>
  </a>
  <a r="1">
    <v>62.47</v>
  </a>
  <a r="1">
    <v>63</v>
  </a>
  <a r="1" c="27">
    <v>23.18</v>
    <v>23.59</v>
    <v>24.1</v>
    <v>25.34</v>
    <v>25.81</v>
    <v>25.43</v>
    <v>25.61</v>
    <v>25.27</v>
    <v>25.18</v>
    <v>26.1</v>
    <v>27.18</v>
    <v>28</v>
    <v>28.83</v>
    <v>28.88</v>
    <v>29.14</v>
    <v>29.1</v>
    <v>28.61</v>
    <v>29.25</v>
    <v>29.87</v>
    <v>29.66</v>
    <v>30.32</v>
    <v>29.85</v>
    <v>30</v>
    <v>29.46</v>
    <v>29.57</v>
    <v>30</v>
    <v>30.17</v>
  </a>
  <a r="1">
    <v>30.17</v>
  </a>
  <a r="1">
    <v>30</v>
  </a>
  <a r="1">
    <v>28.61</v>
  </a>
  <a r="1">
    <v>537.07000000000005</v>
  </a>
  <a r="1" c="27">
    <v>496.64</v>
    <v>502.23</v>
    <v>504.3</v>
    <v>509.46</v>
    <v>513.84</v>
    <v>516.57000000000005</v>
    <v>517.35</v>
    <v>517.59</v>
    <v>515.91</v>
    <v>524.91</v>
    <v>523.88</v>
    <v>525.16999999999996</v>
    <v>526.67999999999995</v>
    <v>525.61</v>
    <v>527.70000000000005</v>
    <v>525.38</v>
    <v>527.66999999999996</v>
    <v>522.74</v>
    <v>522.83000000000004</v>
    <v>521.84</v>
    <v>526.65</v>
    <v>521.91</v>
    <v>526.85</v>
    <v>530.45000000000005</v>
    <v>529.55999999999995</v>
    <v>532.71</v>
    <v>537.07000000000005</v>
  </a>
  <a r="1">
    <v>527.66999999999996</v>
  </a>
  <a r="1">
    <v>532.71</v>
  </a>
  <a r="1">
    <v>40.159999999999997</v>
  </a>
  <a r="1" c="27">
    <v>36.32</v>
    <v>36.76</v>
    <v>37.22</v>
    <v>37.39</v>
    <v>39.21</v>
    <v>40.090000000000003</v>
    <v>39.89</v>
    <v>39.49</v>
    <v>39.06</v>
    <v>39.72</v>
    <v>40.51</v>
    <v>40.33</v>
    <v>41.41</v>
    <v>41.31</v>
    <v>41.64</v>
    <v>40.36</v>
    <v>39.82</v>
    <v>40.450000000000003</v>
    <v>40.369999999999997</v>
    <v>39.56</v>
    <v>39.549999999999997</v>
    <v>39.03</v>
    <v>38.99</v>
    <v>38.79</v>
    <v>39.869999999999997</v>
    <v>40.049999999999997</v>
    <v>40.159999999999997</v>
  </a>
  <a r="1">
    <v>39.82</v>
  </a>
  <a r="1">
    <v>40.049999999999997</v>
  </a>
  <a r="1">
    <v>207.36</v>
  </a>
  <a r="1">
    <v>202.76</v>
  </a>
  <a r="1">
    <v>208.96</v>
  </a>
  <a r="1" c="27">
    <v>186.03</v>
    <v>189.2</v>
    <v>189.58</v>
    <v>192.61</v>
    <v>195.16</v>
    <v>196.76</v>
    <v>197.3</v>
    <v>197.18</v>
    <v>196.56</v>
    <v>200.38</v>
    <v>201.57</v>
    <v>202.7</v>
    <v>203</v>
    <v>202.95</v>
    <v>203.3</v>
    <v>201.935</v>
    <v>202.76</v>
    <v>201.63</v>
    <v>202.22</v>
    <v>201.8</v>
    <v>203.76</v>
    <v>202.3</v>
    <v>204.31</v>
    <v>205.95</v>
    <v>205</v>
    <v>207.36</v>
    <v>208.96</v>
  </a>
  <a r="1">
    <v>177.41</v>
  </a>
  <a r="1">
    <v>174.57</v>
  </a>
  <a r="1">
    <v>176.31</v>
  </a>
  <a r="1" c="27">
    <v>167.42</v>
    <v>169.19</v>
    <v>169.38</v>
    <v>169.19</v>
    <v>170.21</v>
    <v>171.43</v>
    <v>172.79</v>
    <v>172.72</v>
    <v>172.34</v>
    <v>173.85</v>
    <v>173.69</v>
    <v>174.3</v>
    <v>174.38</v>
    <v>173.34</v>
    <v>173.39</v>
    <v>173.95</v>
    <v>174.57</v>
    <v>174.15</v>
    <v>174.03</v>
    <v>173.27</v>
    <v>174.62</v>
    <v>173.31</v>
    <v>173.5</v>
    <v>175.02</v>
    <v>174.48</v>
    <v>176.31</v>
    <v>177.41</v>
  </a>
  <a r="1">
    <v>95.86</v>
  </a>
  <a r="1">
    <v>98.12</v>
  </a>
  <a r="1" c="27">
    <v>98.36</v>
    <v>98.5</v>
    <v>98.92</v>
    <v>98.85</v>
    <v>98.69</v>
    <v>98.88</v>
    <v>99.14</v>
    <v>98.96</v>
    <v>98.53</v>
    <v>98.45</v>
    <v>98.42</v>
    <v>98.36</v>
    <v>98.47</v>
    <v>98.07</v>
    <v>98</v>
    <v>98.39</v>
    <v>98.12</v>
    <v>98.19</v>
    <v>97.91</v>
    <v>97.41</v>
    <v>96.47</v>
    <v>96.12</v>
    <v>96.2</v>
    <v>95.84</v>
    <v>95.83</v>
    <v>95.86</v>
    <v>95.69</v>
  </a>
  <a r="1">
    <v>95.69</v>
  </a>
  <a r="1" c="27">
    <v>318.02999999999997</v>
    <v>321.83</v>
    <v>324.60000000000002</v>
    <v>331.36</v>
    <v>335.43</v>
    <v>336.71</v>
    <v>335.79</v>
    <v>336.01</v>
    <v>334.9</v>
    <v>343.21</v>
    <v>342.34</v>
    <v>342.83</v>
    <v>344.79</v>
    <v>344.91</v>
    <v>346.08</v>
    <v>343.73</v>
    <v>345.29</v>
    <v>340.59</v>
    <v>341.05</v>
    <v>341.3</v>
    <v>344.86</v>
    <v>341.63</v>
    <v>346.87</v>
    <v>348.97</v>
    <v>348.82</v>
    <v>349.53</v>
    <v>352.61</v>
  </a>
  <a r="1">
    <v>345.29</v>
  </a>
  <a r="1">
    <v>352.61</v>
  </a>
  <a r="1">
    <v>349.53</v>
  </a>
  <a r="1">
    <v>235.46</v>
  </a>
  <a r="1">
    <v>230.59</v>
  </a>
  <a r="1">
    <v>239.8</v>
  </a>
  <a r="1" c="27">
    <v>203.93</v>
    <v>207.96</v>
    <v>210.15</v>
    <v>219.91</v>
    <v>218.94</v>
    <v>222.85</v>
    <v>219.88</v>
    <v>220.15</v>
    <v>217.72</v>
    <v>226.99</v>
    <v>223.67</v>
    <v>224.54</v>
    <v>227.26</v>
    <v>228.27</v>
    <v>236.43</v>
    <v>232.68</v>
    <v>230.59</v>
    <v>224.13</v>
    <v>227.15</v>
    <v>227.96</v>
    <v>231.08</v>
    <v>230.45</v>
    <v>232.72</v>
    <v>235.15</v>
    <v>233.5</v>
    <v>235.46</v>
    <v>239.8</v>
  </a>
  <a r="1" c="27">
    <v>30.15</v>
    <v>30.36</v>
    <v>30.8</v>
    <v>31.46</v>
    <v>33.53</v>
    <v>35.200000000000003</v>
    <v>35.19</v>
    <v>34.880000000000003</v>
    <v>34.299999999999997</v>
    <v>35.03</v>
    <v>35.53</v>
    <v>35.14</v>
    <v>36.9</v>
    <v>36.86</v>
    <v>37.450000000000003</v>
    <v>36.090000000000003</v>
    <v>35.090000000000003</v>
    <v>35.33</v>
    <v>35.700000000000003</v>
    <v>35.619999999999997</v>
    <v>35.770000000000003</v>
    <v>35.07</v>
    <v>35.01</v>
    <v>35.08</v>
    <v>36.299999999999997</v>
    <v>36.4</v>
    <v>36.28</v>
  </a>
  <a r="1">
    <v>36.28</v>
  </a>
  <a r="1">
    <v>35.090000000000003</v>
  </a>
  <a r="1">
    <v>36.4</v>
  </a>
  <a r="1" c="27">
    <v>274.44</v>
    <v>274.49</v>
    <v>268.63</v>
    <v>268.61</v>
    <v>270.82</v>
    <v>271.23</v>
    <v>277.12</v>
    <v>285.70999999999998</v>
    <v>283.70999999999998</v>
    <v>290.92</v>
    <v>290.89</v>
    <v>293.31</v>
    <v>293.91000000000003</v>
    <v>284.81</v>
    <v>275.92</v>
    <v>282.98</v>
    <v>283.70999999999998</v>
    <v>290.60000000000002</v>
    <v>292.05</v>
    <v>298.45999999999998</v>
    <v>301.89999999999998</v>
    <v>301.89999999999998</v>
    <v>293.61</v>
    <v>292.57</v>
    <v>295</v>
    <v>297.61</v>
    <v>295.12</v>
  </a>
  <a r="1">
    <v>295.12</v>
  </a>
  <a r="1">
    <v>283.70999999999998</v>
  </a>
  <a r="1">
    <v>297.61</v>
  </a>
  <a r="1" c="27">
    <v>25.28</v>
    <v>25.37</v>
    <v>25.25</v>
    <v>25.54</v>
    <v>25.53</v>
    <v>25.42</v>
    <v>25.55</v>
    <v>25.88</v>
    <v>25.73</v>
    <v>26.88</v>
    <v>26.76</v>
    <v>27.23</v>
    <v>30.04</v>
    <v>29.27</v>
    <v>32.65</v>
    <v>33.93</v>
    <v>34.020000000000003</v>
    <v>36.06</v>
    <v>38.380000000000003</v>
    <v>37.200000000000003</v>
    <v>38.409999999999997</v>
    <v>38.869999999999997</v>
    <v>35</v>
    <v>34.61</v>
    <v>34.69</v>
    <v>35.01</v>
    <v>34.049999999999997</v>
  </a>
  <a r="1">
    <v>34.020000000000003</v>
  </a>
  <a r="1">
    <v>34.049999999999997</v>
  </a>
  <a r="1">
    <v>35.01</v>
  </a>
  <a r="1" c="27">
    <v>68.930000000000007</v>
    <v>69.27</v>
    <v>66.959999999999994</v>
    <v>67.849999999999994</v>
    <v>69.89</v>
    <v>69.84</v>
    <v>70.88</v>
    <v>71.72</v>
    <v>70.66</v>
    <v>72.75</v>
    <v>72.92</v>
    <v>72.25</v>
    <v>73.290000000000006</v>
    <v>71.48</v>
    <v>69.010000000000005</v>
    <v>70.27</v>
    <v>69.92</v>
    <v>72.11</v>
    <v>72.760000000000005</v>
    <v>75.73</v>
    <v>76.349999999999994</v>
    <v>79.2</v>
    <v>75.790000000000006</v>
    <v>75.25</v>
    <v>77.77</v>
    <v>77.489999999999995</v>
    <v>75.930000000000007</v>
  </a>
  <a r="1">
    <v>75.930000000000007</v>
  </a>
  <a r="1">
    <v>77.489999999999995</v>
  </a>
</arrayData>
</file>

<file path=xl/richData/rdrichvalue.xml><?xml version="1.0" encoding="utf-8"?>
<rvData xmlns="http://schemas.microsoft.com/office/spreadsheetml/2017/richdata" count="1806">
  <rv s="0">
    <v>https://www.bing.com/financeapi/forcetrigger?t=a23hqh&amp;q=ARCX%3aSPY&amp;form=skydnc</v>
    <v>Learn more on Bing</v>
  </rv>
  <rv s="1">
    <v>de-DE</v>
    <v>a23hqh</v>
    <v>268435456</v>
    <v>1</v>
    <v>Unterstützt von Refinitiv</v>
    <v>0</v>
    <v>1</v>
    <v>SPDR S&amp;P 500 (ARCX:SPY)</v>
    <v>3</v>
    <v>4</v>
    <v>Finance</v>
    <v>5</v>
    <v>585.27</v>
    <v>409.21</v>
    <v>4.74</v>
    <v>8.1779999999999995E-3</v>
    <v>0.99829999999999997</v>
    <v>591487852123.03003</v>
    <v>NYSE Arca</v>
    <v>ARCX</v>
    <v>585.27</v>
    <v>ETF</v>
    <v>9.4600000000000001E-4</v>
    <v>0</v>
    <v>45579.999958448439</v>
    <v>SPDR S&amp;P 500</v>
    <v>580.73</v>
    <v>581.22</v>
    <v>584.32000000000005</v>
    <v>579.58000000000004</v>
    <v>SPY</v>
    <v>SPDR S&amp;P 500 (ARCX:SPY)</v>
    <v>395037</v>
    <v>49065909</v>
    <v>USD</v>
  </rv>
  <rv s="2">
    <v>1</v>
  </rv>
  <rv s="3">
    <fb>540.36</fb>
    <v>6</v>
  </rv>
  <rv s="3">
    <fb>546.41</fb>
    <v>6</v>
  </rv>
  <rv s="3">
    <fb>548.79</fb>
    <v>6</v>
  </rv>
  <rv s="3">
    <fb>554.41999999999996</fb>
    <v>6</v>
  </rv>
  <rv s="3">
    <fb>559.09</fb>
    <v>6</v>
  </rv>
  <rv s="3">
    <fb>562.01</fb>
    <v>6</v>
  </rv>
  <rv s="3">
    <fb>562.84</fb>
    <v>6</v>
  </rv>
  <rv s="3">
    <fb>563.07000000000005</fb>
    <v>6</v>
  </rv>
  <rv s="3">
    <fb>561.4</fb>
    <v>6</v>
  </rv>
  <rv s="3">
    <fb>570.98</fb>
    <v>6</v>
  </rv>
  <rv s="3">
    <fb>568.25</fb>
    <v>6</v>
  </rv>
  <rv s="3">
    <fb>569.66999999999996</fb>
    <v>6</v>
  </rv>
  <rv s="3">
    <fb>571.29999999999995</fb>
    <v>6</v>
  </rv>
  <rv s="3">
    <fb>570.04</fb>
    <v>6</v>
  </rv>
  <rv s="3">
    <fb>572.29999999999995</fb>
    <v>6</v>
  </rv>
  <rv s="3">
    <fb>571.47</fb>
    <v>6</v>
  </rv>
  <rv s="3">
    <fb>573.76</fb>
    <v>6</v>
  </rv>
  <rv s="3">
    <fb>568.62</fb>
    <v>6</v>
  </rv>
  <rv s="3">
    <fb>568.86</fb>
    <v>6</v>
  </rv>
  <rv s="3">
    <fb>567.82000000000005</fb>
    <v>6</v>
  </rv>
  <rv s="3">
    <fb>572.98</fb>
    <v>6</v>
  </rv>
  <rv s="3">
    <fb>567.79999999999995</fb>
    <v>6</v>
  </rv>
  <rv s="3">
    <fb>573.16999999999996</fb>
    <v>6</v>
  </rv>
  <rv s="3">
    <fb>577.14</fb>
    <v>6</v>
  </rv>
  <rv s="3">
    <fb>576.13</fb>
    <v>6</v>
  </rv>
  <rv s="3">
    <fb>579.58000000000004</fb>
    <v>6</v>
  </rv>
  <rv s="3">
    <fb>584.32000000000005</fb>
    <v>6</v>
  </rv>
  <rv s="0">
    <v>https://www.bing.com/financeapi/forcetrigger?t=ayekc7&amp;q=ARCX%3aBLOK&amp;form=skydnc</v>
    <v>Learn more on Bing</v>
  </rv>
  <rv s="1">
    <v>de-DE</v>
    <v>ayekc7</v>
    <v>268435456</v>
    <v>1</v>
    <v>Unterstützt von Refinitiv</v>
    <v>0</v>
    <v>1</v>
    <v>Amplify Trans Data Shrng (ARCX:BLOK)</v>
    <v>3</v>
    <v>4</v>
    <v>Finance</v>
    <v>5</v>
    <v>40.5</v>
    <v>19.3996</v>
    <v>0.89</v>
    <v>2.2890999999999998E-2</v>
    <v>1.7125999999999999</v>
    <v>685375357.62</v>
    <v>NYSE Arca</v>
    <v>ARCX</v>
    <v>40.020000000000003</v>
    <v>ETF</v>
    <v>7.6E-3</v>
    <v>30</v>
    <v>45579.994350323439</v>
    <v>Amplify Trans Data Shrng</v>
    <v>39.080100000000002</v>
    <v>39.450000000000003</v>
    <v>39.770000000000003</v>
    <v>38.880000000000003</v>
    <v>BLOK</v>
    <v>Amplify Trans Data Shrng (ARCX:BLOK)</v>
    <v>1954</v>
    <v>124420</v>
    <v>USD</v>
  </rv>
  <rv s="2">
    <v>31</v>
  </rv>
  <rv s="3">
    <fb>32.35</fb>
    <v>6</v>
  </rv>
  <rv s="3">
    <fb>33.5</fb>
    <v>6</v>
  </rv>
  <rv s="3">
    <fb>34.24</fb>
    <v>6</v>
  </rv>
  <rv s="3">
    <fb>34.49</fb>
    <v>6</v>
  </rv>
  <rv s="3">
    <fb>35</fb>
    <v>6</v>
  </rv>
  <rv s="3">
    <fb>35.64</fb>
    <v>6</v>
  </rv>
  <rv s="3">
    <fb>35.39</fb>
    <v>6</v>
  </rv>
  <rv s="3">
    <fb>35.67</fb>
    <v>6</v>
  </rv>
  <rv s="3">
    <fb>35.700000000000003</fb>
    <v>6</v>
  </rv>
  <rv s="3">
    <fb>36.5</fb>
    <v>6</v>
  </rv>
  <rv s="3">
    <fb>36.47</fb>
    <v>6</v>
  </rv>
  <rv s="3">
    <fb>36.729999999999997</fb>
    <v>6</v>
  </rv>
  <rv s="3">
    <fb>37.51</fb>
    <v>6</v>
  </rv>
  <rv s="3">
    <fb>37.18</fb>
    <v>6</v>
  </rv>
  <rv s="3">
    <fb>38.159999999999997</fb>
    <v>6</v>
  </rv>
  <rv s="3">
    <fb>38.299999999999997</fb>
    <v>6</v>
  </rv>
  <rv s="3">
    <fb>37.520000000000003</fb>
    <v>6</v>
  </rv>
  <rv s="3">
    <fb>36.65</fb>
    <v>6</v>
  </rv>
  <rv s="3">
    <fb>36.58</fb>
    <v>6</v>
  </rv>
  <rv s="3">
    <fb>37.6</fb>
    <v>6</v>
  </rv>
  <rv s="3">
    <fb>37.46</fb>
    <v>6</v>
  </rv>
  <rv s="3">
    <fb>37.65</fb>
    <v>6</v>
  </rv>
  <rv s="3">
    <fb>37.42</fb>
    <v>6</v>
  </rv>
  <rv s="3">
    <fb>37.200000000000003</fb>
    <v>6</v>
  </rv>
  <rv s="3">
    <fb>38.880000000000003</fb>
    <v>6</v>
  </rv>
  <rv s="3">
    <fb>39.770000000000003</fb>
    <v>6</v>
  </rv>
  <rv s="0">
    <v>https://www.bing.com/financeapi/forcetrigger?t=bqf977&amp;q=ARCX%3aIHAK&amp;form=skydnc</v>
    <v>Learn more on Bing</v>
  </rv>
  <rv s="1">
    <v>de-DE</v>
    <v>bqf977</v>
    <v>268435456</v>
    <v>1</v>
    <v>Unterstützt von Refinitiv</v>
    <v>0</v>
    <v>1</v>
    <v>iShares:Cybersec &amp; Tech (ARCX:IHAK)</v>
    <v>3</v>
    <v>4</v>
    <v>Finance</v>
    <v>7</v>
    <v>50.67</v>
    <v>36.130000000000003</v>
    <v>0.2059</v>
    <v>4.0930000000000003E-3</v>
    <v>0.68910000000000005</v>
    <v>891280850.49000001</v>
    <v>NYSE Arca</v>
    <v>ARCX</v>
    <v>50.67</v>
    <v>ETF</v>
    <v>4.6999999999999993E-3</v>
    <v>59</v>
    <v>45579.907473228908</v>
    <v>iShares:Cybersec &amp; Tech</v>
    <v>50.23</v>
    <v>50.59</v>
    <v>50.509900000000002</v>
    <v>50.304000000000002</v>
    <v>IHAK</v>
    <v>iShares:Cybersec &amp; Tech (ARCX:IHAK)</v>
    <v>22</v>
    <v>43805</v>
    <v>USD</v>
  </rv>
  <rv s="2">
    <v>60</v>
  </rv>
  <rv s="3">
    <fb>46.03</fb>
    <v>6</v>
  </rv>
  <rv s="3">
    <fb>46.201999999999998</fb>
    <v>6</v>
  </rv>
  <rv s="3">
    <fb>46.14</fb>
    <v>6</v>
  </rv>
  <rv s="3">
    <fb>46.51</fb>
    <v>6</v>
  </rv>
  <rv s="3">
    <fb>46.908700000000003</fb>
    <v>6</v>
  </rv>
  <rv s="3">
    <fb>47.4206</fb>
    <v>6</v>
  </rv>
  <rv s="3">
    <fb>47.84</fb>
    <v>6</v>
  </rv>
  <rv s="3">
    <fb>47.89</fb>
    <v>6</v>
  </rv>
  <rv s="3">
    <fb>47.34</fb>
    <v>6</v>
  </rv>
  <rv s="3">
    <fb>48.25</fb>
    <v>6</v>
  </rv>
  <rv s="3">
    <fb>48.52</fb>
    <v>6</v>
  </rv>
  <rv s="3">
    <fb>48.71</fb>
    <v>6</v>
  </rv>
  <rv s="3">
    <fb>48.75</fb>
    <v>6</v>
  </rv>
  <rv s="3">
    <fb>48.26</fb>
    <v>6</v>
  </rv>
  <rv s="3">
    <fb>48.53</fb>
    <v>6</v>
  </rv>
  <rv s="3">
    <fb>48.49</fb>
    <v>6</v>
  </rv>
  <rv s="3">
    <fb>48.74</fb>
    <v>6</v>
  </rv>
  <rv s="3">
    <fb>47.88</fb>
    <v>6</v>
  </rv>
  <rv s="3">
    <fb>47.715299999999999</fb>
    <v>6</v>
  </rv>
  <rv s="3">
    <fb>48.31</fb>
    <v>6</v>
  </rv>
  <rv s="3">
    <fb>47.66</fb>
    <v>6</v>
  </rv>
  <rv s="3">
    <fb>48.48</fb>
    <v>6</v>
  </rv>
  <rv s="3">
    <fb>49.37</fb>
    <v>6</v>
  </rv>
  <rv s="3">
    <fb>49.96</fb>
    <v>6</v>
  </rv>
  <rv s="3">
    <fb>50.304000000000002</fb>
    <v>6</v>
  </rv>
  <rv s="3">
    <fb>50.509900000000002</fb>
    <v>6</v>
  </rv>
  <rv s="0">
    <v>https://www.bing.com/financeapi/forcetrigger?t=a1ueyc&amp;q=ARCX%3aHACK&amp;form=skydnc</v>
    <v>Learn more on Bing</v>
  </rv>
  <rv s="1">
    <v>de-DE</v>
    <v>a1ueyc</v>
    <v>268435456</v>
    <v>1</v>
    <v>Unterstützt von Refinitiv</v>
    <v>0</v>
    <v>1</v>
    <v>Amplify Cybersecurity (ARCX:HACK)</v>
    <v>3</v>
    <v>4</v>
    <v>Finance</v>
    <v>7</v>
    <v>71.989999999999995</v>
    <v>49.741399999999999</v>
    <v>0.08</v>
    <v>1.116E-3</v>
    <v>0.68810000000000004</v>
    <v>1746406699.9000001</v>
    <v>NYSE Arca</v>
    <v>ARCX</v>
    <v>71.98</v>
    <v>ETF</v>
    <v>6.0000000000000001E-3</v>
    <v>88</v>
    <v>45579.946562580466</v>
    <v>Amplify Cybersecurity</v>
    <v>71.228999999999999</v>
    <v>71.98</v>
    <v>71.75</v>
    <v>71.67</v>
    <v>HACK</v>
    <v>Amplify Cybersecurity (ARCX:HACK)</v>
    <v>125</v>
    <v>63142</v>
    <v>USD</v>
  </rv>
  <rv s="2">
    <v>89</v>
  </rv>
  <rv s="3">
    <fb>63.06</fb>
    <v>6</v>
  </rv>
  <rv s="3">
    <fb>63.45</fb>
    <v>6</v>
  </rv>
  <rv s="3">
    <fb>63.9</fb>
    <v>6</v>
  </rv>
  <rv s="3">
    <fb>64.66</fb>
    <v>6</v>
  </rv>
  <rv s="3">
    <fb>65.52</fb>
    <v>6</v>
  </rv>
  <rv s="3">
    <fb>66.28</fb>
    <v>6</v>
  </rv>
  <rv s="3">
    <fb>66.709999999999994</fb>
    <v>6</v>
  </rv>
  <rv s="3">
    <fb>66.56</fb>
    <v>6</v>
  </rv>
  <rv s="3">
    <fb>65.989999999999995</fb>
    <v>6</v>
  </rv>
  <rv s="3">
    <fb>67.14</fb>
    <v>6</v>
  </rv>
  <rv s="3">
    <fb>68</fb>
    <v>6</v>
  </rv>
  <rv s="3">
    <fb>68.56</fb>
    <v>6</v>
  </rv>
  <rv s="3">
    <fb>68.05</fb>
    <v>6</v>
  </rv>
  <rv s="3">
    <fb>68.290000000000006</fb>
    <v>6</v>
  </rv>
  <rv s="3">
    <fb>68.08</fb>
    <v>6</v>
  </rv>
  <rv s="3">
    <fb>68.28</fb>
    <v>6</v>
  </rv>
  <rv s="3">
    <fb>67.33</fb>
    <v>6</v>
  </rv>
  <rv s="3">
    <fb>67.656199999999998</fb>
    <v>6</v>
  </rv>
  <rv s="3">
    <fb>67.430000000000007</fb>
    <v>6</v>
  </rv>
  <rv s="3">
    <fb>68.58</fb>
    <v>6</v>
  </rv>
  <rv s="3">
    <fb>67.825000000000003</fb>
    <v>6</v>
  </rv>
  <rv s="3">
    <fb>68.930000000000007</fb>
    <v>6</v>
  </rv>
  <rv s="3">
    <fb>70.39</fb>
    <v>6</v>
  </rv>
  <rv s="3">
    <fb>71.430000000000007</fb>
    <v>6</v>
  </rv>
  <rv s="3">
    <fb>71.67</fb>
    <v>6</v>
  </rv>
  <rv s="3">
    <fb>71.75</fb>
    <v>6</v>
  </rv>
  <rv s="0">
    <v>https://www.bing.com/financeapi/forcetrigger?t=a1ppec&amp;q=XNAS%3aCIBR&amp;form=skydnc</v>
    <v>Learn more on Bing</v>
  </rv>
  <rv s="1">
    <v>de-DE</v>
    <v>a1ppec</v>
    <v>268435456</v>
    <v>1</v>
    <v>Unterstützt von Refinitiv</v>
    <v>0</v>
    <v>1</v>
    <v>FT II:Nsdq Cybersecurity (XNAS:CIBR)</v>
    <v>3</v>
    <v>4</v>
    <v>Finance</v>
    <v>7</v>
    <v>62.94</v>
    <v>43.51</v>
    <v>0.06</v>
    <v>9.5969999999999996E-4</v>
    <v>0.73939999999999995</v>
    <v>6601960374.1099997</v>
    <v>Nasdaq Stock Market</v>
    <v>XNAS</v>
    <v>62.94</v>
    <v>ETF</v>
    <v>5.8999999999999999E-3</v>
    <v>117</v>
    <v>45579.948714756247</v>
    <v>FT II:Nsdq Cybersecurity</v>
    <v>62.16</v>
    <v>62.91</v>
    <v>62.58</v>
    <v>62.52</v>
    <v>CIBR</v>
    <v>FT II:Nsdq Cybersecurity (XNAS:CIBR)</v>
    <v>6403</v>
    <v>608055</v>
    <v>USD</v>
  </rv>
  <rv s="2">
    <v>118</v>
  </rv>
  <rv s="3">
    <fb>55.39</fb>
    <v>6</v>
  </rv>
  <rv s="3">
    <fb>55.7</fb>
    <v>6</v>
  </rv>
  <rv s="3">
    <fb>56.18</fb>
    <v>6</v>
  </rv>
  <rv s="3">
    <fb>56.85</fb>
    <v>6</v>
  </rv>
  <rv s="3">
    <fb>57.53</fb>
    <v>6</v>
  </rv>
  <rv s="3">
    <fb>57.97</fb>
    <v>6</v>
  </rv>
  <rv s="3">
    <fb>58.25</fb>
    <v>6</v>
  </rv>
  <rv s="3">
    <fb>57.86</fb>
    <v>6</v>
  </rv>
  <rv s="3">
    <fb>57.32</fb>
    <v>6</v>
  </rv>
  <rv s="3">
    <fb>58.53</fb>
    <v>6</v>
  </rv>
  <rv s="3">
    <fb>59.3</fb>
    <v>6</v>
  </rv>
  <rv s="3">
    <fb>59.55</fb>
    <v>6</v>
  </rv>
  <rv s="3">
    <fb>59.66</fb>
    <v>6</v>
  </rv>
  <rv s="3">
    <fb>59.26</fb>
    <v>6</v>
  </rv>
  <rv s="3">
    <fb>59.43</fb>
    <v>6</v>
  </rv>
  <rv s="3">
    <fb>59.18</fb>
    <v>6</v>
  </rv>
  <rv s="3">
    <fb>59.23</fb>
    <v>6</v>
  </rv>
  <rv s="3">
    <fb>58.36</fb>
    <v>6</v>
  </rv>
  <rv s="3">
    <fb>58.72</fb>
    <v>6</v>
  </rv>
  <rv s="3">
    <fb>58.81</fb>
    <v>6</v>
  </rv>
  <rv s="3">
    <fb>59.78</fb>
    <v>6</v>
  </rv>
  <rv s="3">
    <fb>59.16</fb>
    <v>6</v>
  </rv>
  <rv s="3">
    <fb>60.27</fb>
    <v>6</v>
  </rv>
  <rv s="3">
    <fb>61.38</fb>
    <v>6</v>
  </rv>
  <rv s="3">
    <fb>62.12</fb>
    <v>6</v>
  </rv>
  <rv s="3">
    <fb>62.52</fb>
    <v>6</v>
  </rv>
  <rv s="3">
    <fb>62.58</fb>
    <v>6</v>
  </rv>
  <rv s="0">
    <v>https://www.bing.com/financeapi/forcetrigger?t=a235f2&amp;q=XNAS%3aSMH&amp;form=skydnc</v>
    <v>Learn more on Bing</v>
  </rv>
  <rv s="1">
    <v>de-DE</v>
    <v>a235f2</v>
    <v>268435456</v>
    <v>1</v>
    <v>Unterstützt von Refinitiv</v>
    <v>0</v>
    <v>1</v>
    <v>VanEck:Semiconductor (XNAS:SMH)</v>
    <v>3</v>
    <v>4</v>
    <v>Finance</v>
    <v>5</v>
    <v>283.07</v>
    <v>136.1</v>
    <v>4.59</v>
    <v>1.7881000000000001E-2</v>
    <v>1.2930999999999999</v>
    <v>23885833824.77</v>
    <v>Nasdaq Stock Market</v>
    <v>XNAS</v>
    <v>262.26</v>
    <v>ETF</v>
    <v>3.4999999999999996E-3</v>
    <v>147</v>
    <v>45579.997828055471</v>
    <v>VanEck:Semiconductor</v>
    <v>258.42</v>
    <v>258.52</v>
    <v>261.27999999999997</v>
    <v>256.69</v>
    <v>SMH</v>
    <v>VanEck:Semiconductor (XNAS:SMH)</v>
    <v>36950</v>
    <v>6386317</v>
    <v>USD</v>
  </rv>
  <rv s="2">
    <v>148</v>
  </rv>
  <rv s="3">
    <fb>215</fb>
    <v>6</v>
  </rv>
  <rv s="3">
    <fb>219.86</fb>
    <v>6</v>
  </rv>
  <rv s="3">
    <fb>221.94</fb>
    <v>6</v>
  </rv>
  <rv s="3">
    <fb>233.4</fb>
    <v>6</v>
  </rv>
  <rv s="3">
    <fb>233.9</fb>
    <v>6</v>
  </rv>
  <rv s="3">
    <fb>236.91</fb>
    <v>6</v>
  </rv>
  <rv s="3">
    <fb>233.8</fb>
    <v>6</v>
  </rv>
  <rv s="3">
    <fb>233.72</fb>
    <v>6</v>
  </rv>
  <rv s="3">
    <fb>231.06</fb>
    <v>6</v>
  </rv>
  <rv s="3">
    <fb>241.09</fb>
    <v>6</v>
  </rv>
  <rv s="3">
    <fb>237.9</fb>
    <v>6</v>
  </rv>
  <rv s="3">
    <fb>238.95</fb>
    <v>6</v>
  </rv>
  <rv s="3">
    <fb>243.4</fb>
    <v>6</v>
  </rv>
  <rv s="3">
    <fb>245.54</fb>
    <v>6</v>
  </rv>
  <rv s="3">
    <fb>252.62</fb>
    <v>6</v>
  </rv>
  <rv s="3">
    <fb>247.74</fb>
    <v>6</v>
  </rv>
  <rv s="3">
    <fb>245.45</fb>
    <v>6</v>
  </rv>
  <rv s="3">
    <fb>238.88</fb>
    <v>6</v>
  </rv>
  <rv s="3">
    <fb>242.32</fb>
    <v>6</v>
  </rv>
  <rv s="3">
    <fb>244.55</fb>
    <v>6</v>
  </rv>
  <rv s="3">
    <fb>247.82</fb>
    <v>6</v>
  </rv>
  <rv s="3">
    <fb>248.22</fb>
    <v>6</v>
  </rv>
  <rv s="3">
    <fb>252.52</fb>
    <v>6</v>
  </rv>
  <rv s="3">
    <fb>255.15</fb>
    <v>6</v>
  </rv>
  <rv s="3">
    <fb>254.65</fb>
    <v>6</v>
  </rv>
  <rv s="3">
    <fb>256.69</fb>
    <v>6</v>
  </rv>
  <rv s="3">
    <fb>261.27999999999997</fb>
    <v>6</v>
  </rv>
  <rv s="0">
    <v>https://www.bing.com/financeapi/forcetrigger?t=a232h7&amp;q=XNAS%3aSKYY&amp;form=skydnc</v>
    <v>Learn more on Bing</v>
  </rv>
  <rv s="1">
    <v>de-DE</v>
    <v>a232h7</v>
    <v>268435456</v>
    <v>1</v>
    <v>Unterstützt von Refinitiv</v>
    <v>0</v>
    <v>1</v>
    <v>FT II:Cloud Computing (XNAS:SKYY)</v>
    <v>3</v>
    <v>4</v>
    <v>Finance</v>
    <v>5</v>
    <v>107.05</v>
    <v>70.42</v>
    <v>0.24</v>
    <v>2.2570000000000003E-3</v>
    <v>1.0208999999999999</v>
    <v>2977532478.0999999</v>
    <v>Nasdaq Stock Market</v>
    <v>XNAS</v>
    <v>107.05</v>
    <v>ETF</v>
    <v>6.0000000000000001E-3</v>
    <v>177</v>
    <v>45579.963256978903</v>
    <v>FT II:Cloud Computing</v>
    <v>106.12560000000001</v>
    <v>106.67</v>
    <v>106.59</v>
    <v>106.35</v>
    <v>SKYY</v>
    <v>FT II:Cloud Computing (XNAS:SKYY)</v>
    <v>189</v>
    <v>147625</v>
    <v>USD</v>
  </rv>
  <rv s="2">
    <v>178</v>
  </rv>
  <rv s="3">
    <fb>93.47</fb>
    <v>6</v>
  </rv>
  <rv s="3">
    <fb>94.16</fb>
    <v>6</v>
  </rv>
  <rv s="3">
    <fb>94.58</fb>
    <v>6</v>
  </rv>
  <rv s="3">
    <fb>96.35</fb>
    <v>6</v>
  </rv>
  <rv s="3">
    <fb>97.72</fb>
    <v>6</v>
  </rv>
  <rv s="3">
    <fb>98.43</fb>
    <v>6</v>
  </rv>
  <rv s="3">
    <fb>99.36</fb>
    <v>6</v>
  </rv>
  <rv s="3">
    <fb>99.33</fb>
    <v>6</v>
  </rv>
  <rv s="3">
    <fb>99.09</fb>
    <v>6</v>
  </rv>
  <rv s="3">
    <fb>101.37</fb>
    <v>6</v>
  </rv>
  <rv s="3">
    <fb>101.8</fb>
    <v>6</v>
  </rv>
  <rv s="3">
    <fb>102.21</fb>
    <v>6</v>
  </rv>
  <rv s="3">
    <fb>102.35</fb>
    <v>6</v>
  </rv>
  <rv s="3">
    <fb>101.96</fb>
    <v>6</v>
  </rv>
  <rv s="3">
    <fb>102.48</fb>
    <v>6</v>
  </rv>
  <rv s="3">
    <fb>102.08</fb>
    <v>6</v>
  </rv>
  <rv s="3">
    <fb>102.26</fb>
    <v>6</v>
  </rv>
  <rv s="3">
    <fb>99.98</fb>
    <v>6</v>
  </rv>
  <rv s="3">
    <fb>100.88</fb>
    <v>6</v>
  </rv>
  <rv s="3">
    <fb>100.74</fb>
    <v>6</v>
  </rv>
  <rv s="3">
    <fb>103.19</fb>
    <v>6</v>
  </rv>
  <rv s="3">
    <fb>101.51</fb>
    <v>6</v>
  </rv>
  <rv s="3">
    <fb>102.81</fb>
    <v>6</v>
  </rv>
  <rv s="3">
    <fb>104.52</fb>
    <v>6</v>
  </rv>
  <rv s="3">
    <fb>105.76</fb>
    <v>6</v>
  </rv>
  <rv s="3">
    <fb>106.35</fb>
    <v>6</v>
  </rv>
  <rv s="3">
    <fb>106.59</fb>
    <v>6</v>
  </rv>
  <rv s="0">
    <v>https://www.bing.com/financeapi/forcetrigger?t=a25bf2&amp;q=ARCX%3aVGT&amp;form=skydnc</v>
    <v>Learn more on Bing</v>
  </rv>
  <rv s="1">
    <v>de-DE</v>
    <v>a25bf2</v>
    <v>268435456</v>
    <v>1</v>
    <v>Unterstützt von Refinitiv</v>
    <v>0</v>
    <v>1</v>
    <v>Vanguard InfoTch Idx;ETF (ARCX:VGT)</v>
    <v>3</v>
    <v>4</v>
    <v>Finance</v>
    <v>5</v>
    <v>609.42999999999995</v>
    <v>397.76</v>
    <v>7.44</v>
    <v>1.2391000000000001E-2</v>
    <v>0.97270000000000001</v>
    <v>77488358269.050003</v>
    <v>NYSE Arca</v>
    <v>ARCX</v>
    <v>609.42999999999995</v>
    <v>ETF</v>
    <v>1E-3</v>
    <v>207</v>
    <v>45579.995550358595</v>
    <v>Vanguard InfoTch Idx;ETF</v>
    <v>604.16</v>
    <v>604.36</v>
    <v>607.88</v>
    <v>600.44000000000005</v>
    <v>VGT</v>
    <v>Vanguard InfoTch Idx;ETF (ARCX:VGT)</v>
    <v>1112</v>
    <v>397189</v>
    <v>USD</v>
  </rv>
  <rv s="2">
    <v>208</v>
  </rv>
  <rv s="3">
    <fb>533.16999999999996</fb>
    <v>6</v>
  </rv>
  <rv s="3">
    <fb>540.37</fb>
    <v>6</v>
  </rv>
  <rv s="3">
    <fb>545.85</fb>
    <v>6</v>
  </rv>
  <rv s="3">
    <fb>561.58000000000004</fb>
    <v>6</v>
  </rv>
  <rv s="3">
    <fb>565.9</fb>
    <v>6</v>
  </rv>
  <rv s="3">
    <fb>569.24</fb>
    <v>6</v>
  </rv>
  <rv s="3">
    <fb>565.61</fb>
    <v>6</v>
  </rv>
  <rv s="3">
    <fb>563</fb>
    <v>6</v>
  </rv>
  <rv s="3">
    <fb>579.65</fb>
    <v>6</v>
  </rv>
  <rv s="3">
    <fb>577.62</fb>
    <v>6</v>
  </rv>
  <rv s="3">
    <fb>577.41999999999996</fb>
    <v>6</v>
  </rv>
  <rv s="3">
    <fb>582.63</fb>
    <v>6</v>
  </rv>
  <rv s="3">
    <fb>583.02</fb>
    <v>6</v>
  </rv>
  <rv s="3">
    <fb>590.25</fb>
    <v>6</v>
  </rv>
  <rv s="3">
    <fb>584.96</fb>
    <v>6</v>
  </rv>
  <rv s="3">
    <fb>586.52</fb>
    <v>6</v>
  </rv>
  <rv s="3">
    <fb>571.78</fb>
    <v>6</v>
  </rv>
  <rv s="3">
    <fb>575.38</fb>
    <v>6</v>
  </rv>
  <rv s="3">
    <fb>577.64</fb>
    <v>6</v>
  </rv>
  <rv s="3">
    <fb>585.04</fb>
    <v>6</v>
  </rv>
  <rv s="3">
    <fb>580.84</fb>
    <v>6</v>
  </rv>
  <rv s="3">
    <fb>591.42999999999995</fb>
    <v>6</v>
  </rv>
  <rv s="3">
    <fb>598.04999999999995</fb>
    <v>6</v>
  </rv>
  <rv s="3">
    <fb>598.59</fb>
    <v>6</v>
  </rv>
  <rv s="3">
    <fb>600.44000000000005</fb>
    <v>6</v>
  </rv>
  <rv s="3">
    <fb>607.88</fb>
    <v>6</v>
  </rv>
  <rv s="0">
    <v>https://www.bing.com/financeapi/forcetrigger?t=a1vzpr&amp;q=ARCX%3aIYW&amp;form=skydnc</v>
    <v>Learn more on Bing</v>
  </rv>
  <rv s="1">
    <v>de-DE</v>
    <v>a1vzpr</v>
    <v>268435456</v>
    <v>1</v>
    <v>Unterstützt von Refinitiv</v>
    <v>0</v>
    <v>1</v>
    <v>iShares:US Tech (ARCX:IYW)</v>
    <v>3</v>
    <v>4</v>
    <v>Finance</v>
    <v>7</v>
    <v>158.97</v>
    <v>100.70740000000001</v>
    <v>2.0099999999999998</v>
    <v>1.2968E-2</v>
    <v>1.0661</v>
    <v>18941292269.419998</v>
    <v>NYSE Arca</v>
    <v>ARCX</v>
    <v>157.53</v>
    <v>ETF</v>
    <v>3.9000000000000003E-3</v>
    <v>236</v>
    <v>45579.99701607578</v>
    <v>iShares:US Tech</v>
    <v>156</v>
    <v>156</v>
    <v>157.01</v>
    <v>155</v>
    <v>IYW</v>
    <v>iShares:US Tech (ARCX:IYW)</v>
    <v>123</v>
    <v>646004</v>
    <v>USD</v>
  </rv>
  <rv s="2">
    <v>237</v>
  </rv>
  <rv s="3">
    <fb>137.69999999999999</fb>
    <v>6</v>
  </rv>
  <rv s="3">
    <fb>139.41</fb>
    <v>6</v>
  </rv>
  <rv s="3">
    <fb>140.94999999999999</fb>
    <v>6</v>
  </rv>
  <rv s="3">
    <fb>144.91</fb>
    <v>6</v>
  </rv>
  <rv s="3">
    <fb>146.16</fb>
    <v>6</v>
  </rv>
  <rv s="3">
    <fb>146.94</fb>
    <v>6</v>
  </rv>
  <rv s="3">
    <fb>146.04</fb>
    <v>6</v>
  </rv>
  <rv s="3">
    <fb>146.11000000000001</fb>
    <v>6</v>
  </rv>
  <rv s="3">
    <fb>145.43</fb>
    <v>6</v>
  </rv>
  <rv s="3">
    <fb>149.88999999999999</fb>
    <v>6</v>
  </rv>
  <rv s="3">
    <fb>149.41999999999999</fb>
    <v>6</v>
  </rv>
  <rv s="3">
    <fb>149.26</fb>
    <v>6</v>
  </rv>
  <rv s="3">
    <fb>150.32</fb>
    <v>6</v>
  </rv>
  <rv s="3">
    <fb>150.72999999999999</fb>
    <v>6</v>
  </rv>
  <rv s="3">
    <fb>152.19999999999999</fb>
    <v>6</v>
  </rv>
  <rv s="3">
    <fb>151.01</fb>
    <v>6</v>
  </rv>
  <rv s="3">
    <fb>151.62</fb>
    <v>6</v>
  </rv>
  <rv s="3">
    <fb>148.13999999999999</fb>
    <v>6</v>
  </rv>
  <rv s="3">
    <fb>149.05000000000001</fb>
    <v>6</v>
  </rv>
  <rv s="3">
    <fb>149.71</fb>
    <v>6</v>
  </rv>
  <rv s="3">
    <fb>151.66</fb>
    <v>6</v>
  </rv>
  <rv s="3">
    <fb>150.36000000000001</fb>
    <v>6</v>
  </rv>
  <rv s="3">
    <fb>153.15</fb>
    <v>6</v>
  </rv>
  <rv s="3">
    <fb>154.52000000000001</fb>
    <v>6</v>
  </rv>
  <rv s="3">
    <fb>154.62</fb>
    <v>6</v>
  </rv>
  <rv s="3">
    <fb>155</fb>
    <v>6</v>
  </rv>
  <rv s="3">
    <fb>157.01</fb>
    <v>6</v>
  </rv>
  <rv s="4">
    <v>de-DE</v>
    <v>cc5pdm</v>
    <v>268435456</v>
    <v>1</v>
    <v>Unterstützt von Refinitiv</v>
    <v>8</v>
    <v>9</v>
    <v>iShares Bitcoin Trust (XNAS:IBIT)</v>
    <v>10</v>
    <v>11</v>
    <v>Finance</v>
    <v>5</v>
    <v>41.99</v>
    <v>22.02</v>
    <v>1.63</v>
    <v>4.5353000000000004E-2</v>
    <v>23160700565.77</v>
    <v>Nasdaq Stock Market</v>
    <v>XNAS</v>
    <v>37.814999999999998</v>
    <v>ETF</v>
    <v>1.1999999999999999E-3</v>
    <v>45579.999876411719</v>
    <v>iShares Bitcoin Trust</v>
    <v>36.82</v>
    <v>36.869999999999997</v>
    <v>37.57</v>
    <v>35.94</v>
    <v>IBIT</v>
    <v>iShares Bitcoin Trust (XNAS:IBIT)</v>
    <v>1868309</v>
    <v>25621143</v>
    <v>USD</v>
  </rv>
  <rv s="2">
    <v>266</v>
  </rv>
  <rv s="3">
    <fb>30.41</fb>
    <v>6</v>
  </rv>
  <rv s="3">
    <fb>32.51</fb>
    <v>6</v>
  </rv>
  <rv s="3">
    <fb>33</fb>
    <v>6</v>
  </rv>
  <rv s="3">
    <fb>32.799999999999997</fb>
    <v>6</v>
  </rv>
  <rv s="3">
    <fb>33.25</fb>
    <v>6</v>
  </rv>
  <rv s="3">
    <fb>34.04</fb>
    <v>6</v>
  </rv>
  <rv s="3">
    <fb>32.979999999999997</fb>
    <v>6</v>
  </rv>
  <rv s="3">
    <fb>34.1</fb>
    <v>6</v>
  </rv>
  <rv s="3">
    <fb>34.15</fb>
    <v>6</v>
  </rv>
  <rv s="3">
    <fb>36.01</fb>
    <v>6</v>
  </rv>
  <rv s="3">
    <fb>35.799999999999997</fb>
    <v>6</v>
  </rv>
  <rv s="3">
    <fb>36.04</fb>
    <v>6</v>
  </rv>
  <rv s="3">
    <fb>36.64</fb>
    <v>6</v>
  </rv>
  <rv s="3">
    <fb>35.97</fb>
    <v>6</v>
  </rv>
  <rv s="3">
    <fb>36.840000000000003</fb>
    <v>6</v>
  </rv>
  <rv s="3">
    <fb>37.39</fb>
    <v>6</v>
  </rv>
  <rv s="3">
    <fb>36.130000000000003</fb>
    <v>6</v>
  </rv>
  <rv s="3">
    <fb>35.130000000000003</fb>
    <v>6</v>
  </rv>
  <rv s="3">
    <fb>34.72</fb>
    <v>6</v>
  </rv>
  <rv s="3">
    <fb>35.520000000000003</fb>
    <v>6</v>
  </rv>
  <rv s="3">
    <fb>36.06</fb>
    <v>6</v>
  </rv>
  <rv s="3">
    <fb>35.4</fb>
    <v>6</v>
  </rv>
  <rv s="3">
    <fb>34.68</fb>
    <v>6</v>
  </rv>
  <rv s="3">
    <fb>33.950000000000003</fb>
    <v>6</v>
  </rv>
  <rv s="3">
    <fb>35.94</fb>
    <v>6</v>
  </rv>
  <rv s="3">
    <fb>37.57</fb>
    <v>6</v>
  </rv>
  <rv s="0">
    <v>https://www.bing.com/financeapi/forcetrigger?t=a25aim&amp;q=ARCX%3aVFH&amp;form=skydnc</v>
    <v>Learn more on Bing</v>
  </rv>
  <rv s="1">
    <v>de-DE</v>
    <v>a25aim</v>
    <v>268435456</v>
    <v>1</v>
    <v>Unterstützt von Refinitiv</v>
    <v>0</v>
    <v>1</v>
    <v>Vanguard Finl Indx;ETF (ARCX:VFH)</v>
    <v>3</v>
    <v>4</v>
    <v>Finance</v>
    <v>5</v>
    <v>113.92</v>
    <v>75.709999999999994</v>
    <v>0.87</v>
    <v>7.698E-3</v>
    <v>1.0279</v>
    <v>10146814279.299999</v>
    <v>NYSE Arca</v>
    <v>ARCX</v>
    <v>113.92</v>
    <v>ETF</v>
    <v>1E-3</v>
    <v>294</v>
    <v>45580.000000034372</v>
    <v>Vanguard Finl Indx;ETF</v>
    <v>112.86</v>
    <v>113.33</v>
    <v>113.88</v>
    <v>113.01</v>
    <v>VFH</v>
    <v>Vanguard Finl Indx;ETF (ARCX:VFH)</v>
    <v>422</v>
    <v>219233</v>
    <v>USD</v>
  </rv>
  <rv s="2">
    <v>295</v>
  </rv>
  <rv s="3">
    <fb>106.93</fb>
    <v>6</v>
  </rv>
  <rv s="3">
    <fb>108.34</fb>
    <v>6</v>
  </rv>
  <rv s="3">
    <fb>107.27</fb>
    <v>6</v>
  </rv>
  <rv s="3">
    <fb>106.89</fb>
    <v>6</v>
  </rv>
  <rv s="3">
    <fb>107.33</fb>
    <v>6</v>
  </rv>
  <rv s="3">
    <fb>108</fb>
    <v>6</v>
  </rv>
  <rv s="3">
    <fb>109.34</fb>
    <v>6</v>
  </rv>
  <rv s="3">
    <fb>109.95</fb>
    <v>6</v>
  </rv>
  <rv s="3">
    <fb>109.77</fb>
    <v>6</v>
  </rv>
  <rv s="3">
    <fb>111.21</fb>
    <v>6</v>
  </rv>
  <rv s="3">
    <fb>110.72</fb>
    <v>6</v>
  </rv>
  <rv s="3">
    <fb>110.88</fb>
    <v>6</v>
  </rv>
  <rv s="3">
    <fb>109.87</fb>
    <v>6</v>
  </rv>
  <rv s="3">
    <fb>109.13</fb>
    <v>6</v>
  </rv>
  <rv s="3">
    <fb>109.7</fb>
    <v>6</v>
  </rv>
  <rv s="3">
    <fb>109.59</fb>
    <v>6</v>
  </rv>
  <rv s="3">
    <fb>109.91</fb>
    <v>6</v>
  </rv>
  <rv s="3">
    <fb>109.2</fb>
    <v>6</v>
  </rv>
  <rv s="3">
    <fb>109.28</fb>
    <v>6</v>
  </rv>
  <rv s="3">
    <fb>108.87</fb>
    <v>6</v>
  </rv>
  <rv s="3">
    <fb>110.74</fb>
    <v>6</v>
  </rv>
  <rv s="3">
    <fb>109.43</fb>
    <v>6</v>
  </rv>
  <rv s="3">
    <fb>110.02</fb>
    <v>6</v>
  </rv>
  <rv s="3">
    <fb>111</fb>
    <v>6</v>
  </rv>
  <rv s="3">
    <fb>110.76</fb>
    <v>6</v>
  </rv>
  <rv s="3">
    <fb>113.01</fb>
    <v>6</v>
  </rv>
  <rv s="3">
    <fb>113.88</fb>
    <v>6</v>
  </rv>
  <rv s="0">
    <v>https://www.bing.com/financeapi/forcetrigger?t=a23bxm&amp;q=XNAS%3aSOXX&amp;form=skydnc</v>
    <v>Learn more on Bing</v>
  </rv>
  <rv s="1">
    <v>de-DE</v>
    <v>a23bxm</v>
    <v>268435456</v>
    <v>1</v>
    <v>Unterstützt von Refinitiv</v>
    <v>0</v>
    <v>1</v>
    <v>iShares:Semiconductor (XNAS:SOXX)</v>
    <v>3</v>
    <v>4</v>
    <v>Finance</v>
    <v>5</v>
    <v>267.24</v>
    <v>144.4032</v>
    <v>4.34</v>
    <v>1.8432E-2</v>
    <v>1.3579000000000001</v>
    <v>14901588744.93</v>
    <v>Nasdaq Stock Market</v>
    <v>XNAS</v>
    <v>240.29</v>
    <v>ETF</v>
    <v>3.4999999999999996E-3</v>
    <v>324</v>
    <v>45579.999668599216</v>
    <v>iShares:Semiconductor</v>
    <v>236.81010000000001</v>
    <v>236.96</v>
    <v>239.8</v>
    <v>235.46</v>
    <v>SOXX</v>
    <v>iShares:Semiconductor (XNAS:SOXX)</v>
    <v>71841</v>
    <v>3306367</v>
    <v>USD</v>
  </rv>
  <rv s="2">
    <v>325</v>
  </rv>
  <rv s="3">
    <fb>203.93</fb>
    <v>6</v>
  </rv>
  <rv s="3">
    <fb>207.96</fb>
    <v>6</v>
  </rv>
  <rv s="3">
    <fb>210.15</fb>
    <v>6</v>
  </rv>
  <rv s="3">
    <fb>219.91</fb>
    <v>6</v>
  </rv>
  <rv s="3">
    <fb>218.94</fb>
    <v>6</v>
  </rv>
  <rv s="3">
    <fb>222.85</fb>
    <v>6</v>
  </rv>
  <rv s="3">
    <fb>219.88</fb>
    <v>6</v>
  </rv>
  <rv s="3">
    <fb>220.15</fb>
    <v>6</v>
  </rv>
  <rv s="3">
    <fb>217.72</fb>
    <v>6</v>
  </rv>
  <rv s="3">
    <fb>226.99</fb>
    <v>6</v>
  </rv>
  <rv s="3">
    <fb>223.67</fb>
    <v>6</v>
  </rv>
  <rv s="3">
    <fb>224.54</fb>
    <v>6</v>
  </rv>
  <rv s="3">
    <fb>227.26</fb>
    <v>6</v>
  </rv>
  <rv s="3">
    <fb>228.27</fb>
    <v>6</v>
  </rv>
  <rv s="3">
    <fb>236.43</fb>
    <v>6</v>
  </rv>
  <rv s="3">
    <fb>232.68</fb>
    <v>6</v>
  </rv>
  <rv s="3">
    <fb>230.59</fb>
    <v>6</v>
  </rv>
  <rv s="3">
    <fb>224.13</fb>
    <v>6</v>
  </rv>
  <rv s="3">
    <fb>227.15</fb>
    <v>6</v>
  </rv>
  <rv s="3">
    <fb>227.96</fb>
    <v>6</v>
  </rv>
  <rv s="3">
    <fb>231.08</fb>
    <v>6</v>
  </rv>
  <rv s="3">
    <fb>230.45</fb>
    <v>6</v>
  </rv>
  <rv s="3">
    <fb>232.72</fb>
    <v>6</v>
  </rv>
  <rv s="3">
    <fb>235.15</fb>
    <v>6</v>
  </rv>
  <rv s="3">
    <fb>233.5</fb>
    <v>6</v>
  </rv>
  <rv s="3">
    <fb>235.46</fb>
    <v>6</v>
  </rv>
  <rv s="3">
    <fb>239.8</fb>
    <v>6</v>
  </rv>
  <rv s="0">
    <v>https://www.bing.com/financeapi/forcetrigger?t=a2hqlh&amp;q=OTCM%3aGBTC&amp;form=skydnc</v>
    <v>Learn more on Bing</v>
  </rv>
  <rv s="5">
    <v>de-DE</v>
    <v>a2hqlh</v>
    <v>268435456</v>
    <v>1</v>
    <v>Unterstützt von Refinitiv</v>
    <v>12</v>
    <v>13</v>
    <v>GRAYSCALE BITCOIN TRUST (BTC) (ARCX:GBTC)</v>
    <v>14</v>
    <v>15</v>
    <v>Finance</v>
    <v>16</v>
    <v>59.244999999999997</v>
    <v>19.2698</v>
    <v>2.21</v>
    <v>4.3963000000000002E-2</v>
    <v>Grayscale Bitcoin Trust (BTC) (Trust) ist ein Anlageinstrument. Der Zweck des Trusts besteht darin, Bitcoins zu halten, bei denen es sich um digitale Vermögenswerte handelt, die durch den Betrieb des Peer-to-Peer-Bitcoin-Netzwerks, eines dezentralen Computernetzwerks, das mit kryptografischen Protokollen arbeitet, geschaffen und übertragen werden. Das Anlageziel des Trusts besteht darin, dass die Anteile (auf der Grundlage von Bitcoin pro Anteil) den Wert der vom Trust gehaltenen Bitcoin widerspiegeln, der unter Bezugnahme auf den Indexpreis ermittelt wird, abzüglich der Ausgaben und sonstigen Verbindlichkeiten des Trusts. Zu den Aktivitäten des Trusts gehören die Ausgabe von Baskets im Austausch für Bitcoins, die dem Trust als Gegenleistung im Zusammenhang mit der Gründung übertragen wurden; die Übertragung oder der Verkauf von Bitcoins, Nebenrechten (IR) und virtueller IR-Währung, soweit dies erforderlich ist, um die Gebühr des Sponsors und/oder zusätzliche Ausgaben des Trusts zu decken; die Übertragung von Bitcoins im Austausch für Baskets, die zur Rücknahme übergeben wurden.</v>
    <v>NYSE Arca</v>
    <v>ARCX</v>
    <v>ARCX</v>
    <v>290 Harbor Drive, 4Th Floor, STAMFORD, CT, 06902 US</v>
    <v>52.84</v>
    <v>Aktie</v>
    <v>2.2871999999999999</v>
    <v>354</v>
    <v>45579.996240914064</v>
    <v>GRAYSCALE BITCOIN TRUST (BTC)</v>
    <v>51.475000000000001</v>
    <v>GRAYSCALE BITCOIN TRUST (BTC)</v>
    <v>51.54</v>
    <v>52.48</v>
    <v>50.27</v>
    <v>GBTC</v>
    <v>GRAYSCALE BITCOIN TRUST (BTC) (ARCX:GBTC)</v>
    <v>24280</v>
    <v>2858129</v>
    <v>USD</v>
  </rv>
  <rv s="2">
    <v>355</v>
  </rv>
  <rv s="3">
    <fb>42.6</fb>
    <v>6</v>
  </rv>
  <rv s="3">
    <fb>45.51</fb>
    <v>6</v>
  </rv>
  <rv s="3">
    <fb>46.19</fb>
    <v>6</v>
  </rv>
  <rv s="3">
    <fb>45.9</fb>
    <v>6</v>
  </rv>
  <rv s="3">
    <fb>46.53</fb>
    <v>6</v>
  </rv>
  <rv s="3">
    <fb>47.64</fb>
    <v>6</v>
  </rv>
  <rv s="3">
    <fb>47.77</fb>
    <v>6</v>
  </rv>
  <rv s="3">
    <fb>47.79</fb>
    <v>6</v>
  </rv>
  <rv s="3">
    <fb>50.38</fb>
    <v>6</v>
  </rv>
  <rv s="3">
    <fb>50.03</fb>
    <v>6</v>
  </rv>
  <rv s="3">
    <fb>50.41</fb>
    <v>6</v>
  </rv>
  <rv s="3">
    <fb>51.23</fb>
    <v>6</v>
  </rv>
  <rv s="3">
    <fb>50.3</fb>
    <v>6</v>
  </rv>
  <rv s="3">
    <fb>51.54</fb>
    <v>6</v>
  </rv>
  <rv s="3">
    <fb>52.31</fb>
    <v>6</v>
  </rv>
  <rv s="3">
    <fb>50.5</fb>
    <v>6</v>
  </rv>
  <rv s="3">
    <fb>49.12</fb>
    <v>6</v>
  </rv>
  <rv s="3">
    <fb>47.92</fb>
    <v>6</v>
  </rv>
  <rv s="3">
    <fb>48.58</fb>
    <v>6</v>
  </rv>
  <rv s="3">
    <fb>49.68</fb>
    <v>6</v>
  </rv>
  <rv s="3">
    <fb>50.44</fb>
    <v>6</v>
  </rv>
  <rv s="3">
    <fb>49.52</fb>
    <v>6</v>
  </rv>
  <rv s="3">
    <fb>47.49</fb>
    <v>6</v>
  </rv>
  <rv s="3">
    <fb>50.27</fb>
    <v>6</v>
  </rv>
  <rv s="3">
    <fb>52.48</fb>
    <v>6</v>
  </rv>
  <rv s="0">
    <v>https://www.bing.com/financeapi/forcetrigger?t=a1vxoc&amp;q=ARCX%3aIWP&amp;form=skydnc</v>
    <v>Learn more on Bing</v>
  </rv>
  <rv s="1">
    <v>de-DE</v>
    <v>a1vxoc</v>
    <v>268435456</v>
    <v>1</v>
    <v>Unterstützt von Refinitiv</v>
    <v>0</v>
    <v>1</v>
    <v>iShares:Russ MC Gr (ARCX:IWP)</v>
    <v>3</v>
    <v>4</v>
    <v>Finance</v>
    <v>7</v>
    <v>122.07</v>
    <v>85.24</v>
    <v>0.81</v>
    <v>6.685E-3</v>
    <v>0.99980000000000002</v>
    <v>14970485323.08</v>
    <v>NYSE Arca</v>
    <v>ARCX</v>
    <v>122.07</v>
    <v>ETF</v>
    <v>2.3E-3</v>
    <v>382</v>
    <v>45579.969421666407</v>
    <v>iShares:Russ MC Gr</v>
    <v>121.12</v>
    <v>121.37</v>
    <v>121.97</v>
    <v>121.16</v>
    <v>IWP</v>
    <v>iShares:Russ MC Gr (ARCX:IWP)</v>
    <v>58</v>
    <v>1119619</v>
    <v>USD</v>
  </rv>
  <rv s="2">
    <v>383</v>
  </rv>
  <rv s="3">
    <fb>108.35</fb>
    <v>6</v>
  </rv>
  <rv s="3">
    <fb>109.84</fb>
    <v>6</v>
  </rv>
  <rv s="3">
    <fb>110.24</fb>
    <v>6</v>
  </rv>
  <rv s="3">
    <fb>111.53</fb>
    <v>6</v>
  </rv>
  <rv s="3">
    <fb>112.45</fb>
    <v>6</v>
  </rv>
  <rv s="3">
    <fb>113.75</fb>
    <v>6</v>
  </rv>
  <rv s="3">
    <fb>114.65</fb>
    <v>6</v>
  </rv>
  <rv s="3">
    <fb>115.03</fb>
    <v>6</v>
  </rv>
  <rv s="3">
    <fb>114.84</fb>
    <v>6</v>
  </rv>
  <rv s="3">
    <fb>116.77</fb>
    <v>6</v>
  </rv>
  <rv s="3">
    <fb>116.68</fb>
    <v>6</v>
  </rv>
  <rv s="3">
    <fb>117.32</fb>
    <v>6</v>
  </rv>
  <rv s="3">
    <fb>117.59</fb>
    <v>6</v>
  </rv>
  <rv s="3">
    <fb>116.97</fb>
    <v>6</v>
  </rv>
  <rv s="3">
    <fb>117.12</fb>
    <v>6</v>
  </rv>
  <rv s="3">
    <fb>117.24</fb>
    <v>6</v>
  </rv>
  <rv s="3">
    <fb>117.29</fb>
    <v>6</v>
  </rv>
  <rv s="3">
    <fb>116.4</fb>
    <v>6</v>
  </rv>
  <rv s="3">
    <fb>116.93</fb>
    <v>6</v>
  </rv>
  <rv s="3">
    <fb>116.84</fb>
    <v>6</v>
  </rv>
  <rv s="3">
    <fb>118.25</fb>
    <v>6</v>
  </rv>
  <rv s="3">
    <fb>118.29</fb>
    <v>6</v>
  </rv>
  <rv s="3">
    <fb>119.5</fb>
    <v>6</v>
  </rv>
  <rv s="3">
    <fb>119.33</fb>
    <v>6</v>
  </rv>
  <rv s="3">
    <fb>121.16</fb>
    <v>6</v>
  </rv>
  <rv s="3">
    <fb>121.97</fb>
    <v>6</v>
  </rv>
  <rv s="0">
    <v>https://www.bing.com/financeapi/forcetrigger?t=a1tqrw&amp;q=ARCX%3aGDXJ&amp;form=skydnc</v>
    <v>Learn more on Bing</v>
  </rv>
  <rv s="1">
    <v>de-DE</v>
    <v>a1tqrw</v>
    <v>268435456</v>
    <v>1</v>
    <v>Unterstützt von Refinitiv</v>
    <v>0</v>
    <v>1</v>
    <v>VanEck:Jr Gold Miners (ARCX:GDXJ)</v>
    <v>3</v>
    <v>4</v>
    <v>Finance</v>
    <v>5</v>
    <v>51.74</v>
    <v>30.885000000000002</v>
    <v>7.0000000000000007E-2</v>
    <v>1.4130000000000002E-3</v>
    <v>0.96530000000000005</v>
    <v>5577387745.9499998</v>
    <v>NYSE Arca</v>
    <v>ARCX</v>
    <v>49.91</v>
    <v>ETF</v>
    <v>5.1999999999999998E-3</v>
    <v>411</v>
    <v>45579.999664282033</v>
    <v>VanEck:Jr Gold Miners</v>
    <v>48.994999999999997</v>
    <v>49.5</v>
    <v>49.6</v>
    <v>49.53</v>
    <v>GDXJ</v>
    <v>VanEck:Jr Gold Miners (ARCX:GDXJ)</v>
    <v>9949</v>
    <v>4993461</v>
    <v>USD</v>
  </rv>
  <rv s="2">
    <v>412</v>
  </rv>
  <rv s="3">
    <fb>42.62</fb>
    <v>6</v>
  </rv>
  <rv s="3">
    <fb>43.25</fb>
    <v>6</v>
  </rv>
  <rv s="3">
    <fb>44.1</fb>
    <v>6</v>
  </rv>
  <rv s="3">
    <fb>44.63</fb>
    <v>6</v>
  </rv>
  <rv s="3">
    <fb>47.59</fb>
    <v>6</v>
  </rv>
  <rv s="3">
    <fb>48.98</fb>
    <v>6</v>
  </rv>
  <rv s="3">
    <fb>48.99</fb>
    <v>6</v>
  </rv>
  <rv s="3">
    <fb>48.4</fb>
    <v>6</v>
  </rv>
  <rv s="3">
    <fb>47.58</fb>
    <v>6</v>
  </rv>
  <rv s="3">
    <fb>49.71</fb>
    <v>6</v>
  </rv>
  <rv s="3">
    <fb>49.2</fb>
    <v>6</v>
  </rv>
  <rv s="3">
    <fb>51.12</fb>
    <v>6</v>
  </rv>
  <rv s="3">
    <fb>50.53</fb>
    <v>6</v>
  </rv>
  <rv s="3">
    <fb>51.19</fb>
    <v>6</v>
  </rv>
  <rv s="3">
    <fb>49.62</fb>
    <v>6</v>
  </rv>
  <rv s="3">
    <fb>48.81</fb>
    <v>6</v>
  </rv>
  <rv s="3">
    <fb>49.76</fb>
    <v>6</v>
  </rv>
  <rv s="3">
    <fb>49.5</fb>
    <v>6</v>
  </rv>
  <rv s="3">
    <fb>48.64</fb>
    <v>6</v>
  </rv>
  <rv s="3">
    <fb>47.78</fb>
    <v>6</v>
  </rv>
  <rv s="3">
    <fb>47.51</fb>
    <v>6</v>
  </rv>
  <rv s="3">
    <fb>49.27</fb>
    <v>6</v>
  </rv>
  <rv s="3">
    <fb>49.53</fb>
    <v>6</v>
  </rv>
  <rv s="3">
    <fb>49.6</fb>
    <v>6</v>
  </rv>
  <rv s="0">
    <v>https://www.bing.com/financeapi/forcetrigger?t=a1xkc7&amp;q=ARCX%3aMGK&amp;form=skydnc</v>
    <v>Learn more on Bing</v>
  </rv>
  <rv s="1">
    <v>de-DE</v>
    <v>a1xkc7</v>
    <v>268435456</v>
    <v>1</v>
    <v>Unterstützt von Refinitiv</v>
    <v>0</v>
    <v>1</v>
    <v>Vanguard MC Gro;ETF (ARCX:MGK)</v>
    <v>3</v>
    <v>4</v>
    <v>Finance</v>
    <v>7</v>
    <v>330.36</v>
    <v>218.1</v>
    <v>3.18</v>
    <v>9.783E-3</v>
    <v>1.0808</v>
    <v>22953804401</v>
    <v>NYSE Arca</v>
    <v>ARCX</v>
    <v>329.12</v>
    <v>ETF</v>
    <v>7.000000000000001E-4</v>
    <v>438</v>
    <v>45579.994509803124</v>
    <v>Vanguard MC Gro;ETF</v>
    <v>326.69</v>
    <v>326.73</v>
    <v>328.22</v>
    <v>325.04000000000002</v>
    <v>MGK</v>
    <v>Vanguard MC Gro;ETF (ARCX:MGK)</v>
    <v>446</v>
    <v>300783</v>
    <v>USD</v>
  </rv>
  <rv s="2">
    <v>439</v>
  </rv>
  <rv s="3">
    <fb>298.64999999999998</fb>
    <v>6</v>
  </rv>
  <rv s="3">
    <fb>302.33</fb>
    <v>6</v>
  </rv>
  <rv s="3">
    <fb>304.55</fb>
    <v>6</v>
  </rv>
  <rv s="3">
    <fb>311.01</fb>
    <v>6</v>
  </rv>
  <rv s="3">
    <fb>314.05</fb>
    <v>6</v>
  </rv>
  <rv s="3">
    <fb>314.95999999999998</fb>
    <v>6</v>
  </rv>
  <rv s="3">
    <fb>313.77</fb>
    <v>6</v>
  </rv>
  <rv s="3">
    <fb>313.95</fb>
    <v>6</v>
  </rv>
  <rv s="3">
    <fb>312.44</fb>
    <v>6</v>
  </rv>
  <rv s="3">
    <fb>320.32</fb>
    <v>6</v>
  </rv>
  <rv s="3">
    <fb>319.32</fb>
    <v>6</v>
  </rv>
  <rv s="3">
    <fb>319.92</fb>
    <v>6</v>
  </rv>
  <rv s="3">
    <fb>321.47000000000003</fb>
    <v>6</v>
  </rv>
  <rv s="3">
    <fb>322.08999999999997</fb>
    <v>6</v>
  </rv>
  <rv s="3">
    <fb>322.58999999999997</fb>
    <v>6</v>
  </rv>
  <rv s="3">
    <fb>320.36</fb>
    <v>6</v>
  </rv>
  <rv s="3">
    <fb>321.95</fb>
    <v>6</v>
  </rv>
  <rv s="3">
    <fb>316.94</fb>
    <v>6</v>
  </rv>
  <rv s="3">
    <fb>317.13</fb>
    <v>6</v>
  </rv>
  <rv s="3">
    <fb>317.72000000000003</fb>
    <v>6</v>
  </rv>
  <rv s="3">
    <fb>321.08</fb>
    <v>6</v>
  </rv>
  <rv s="3">
    <fb>317.16000000000003</fb>
    <v>6</v>
  </rv>
  <rv s="3">
    <fb>322.82</fb>
    <v>6</v>
  </rv>
  <rv s="3">
    <fb>324.88</fb>
    <v>6</v>
  </rv>
  <rv s="3">
    <fb>324.8</fb>
    <v>6</v>
  </rv>
  <rv s="3">
    <fb>325.04000000000002</fb>
    <v>6</v>
  </rv>
  <rv s="3">
    <fb>328.22</fb>
    <v>6</v>
  </rv>
  <rv s="0">
    <v>https://www.bing.com/financeapi/forcetrigger?t=a22yp2&amp;q=ARCX%3aSIL&amp;form=skydnc</v>
    <v>Learn more on Bing</v>
  </rv>
  <rv s="1">
    <v>de-DE</v>
    <v>a22yp2</v>
    <v>268435456</v>
    <v>1</v>
    <v>Unterstützt von Refinitiv</v>
    <v>0</v>
    <v>1</v>
    <v>Glbl X Silver Miners ETF (ARCX:SIL)</v>
    <v>3</v>
    <v>4</v>
    <v>Finance</v>
    <v>7</v>
    <v>37.86</v>
    <v>22.5825</v>
    <v>-0.12</v>
    <v>-3.297E-3</v>
    <v>0.85960000000000003</v>
    <v>1194006100</v>
    <v>NYSE Arca</v>
    <v>ARCX</v>
    <v>36.428100000000001</v>
    <v>ETF</v>
    <v>6.5000000000000006E-3</v>
    <v>468</v>
    <v>45580.000001017972</v>
    <v>Glbl X Silver Miners ETF</v>
    <v>35.880000000000003</v>
    <v>36.31</v>
    <v>36.28</v>
    <v>36.4</v>
    <v>SIL</v>
    <v>Glbl X Silver Miners ETF (ARCX:SIL)</v>
    <v>55</v>
    <v>627002</v>
    <v>USD</v>
  </rv>
  <rv s="2">
    <v>469</v>
  </rv>
  <rv s="3">
    <fb>30.15</fb>
    <v>6</v>
  </rv>
  <rv s="3">
    <fb>30.36</fb>
    <v>6</v>
  </rv>
  <rv s="3">
    <fb>30.8</fb>
    <v>6</v>
  </rv>
  <rv s="3">
    <fb>31.46</fb>
    <v>6</v>
  </rv>
  <rv s="3">
    <fb>33.53</fb>
    <v>6</v>
  </rv>
  <rv s="3">
    <fb>35.200000000000003</fb>
    <v>6</v>
  </rv>
  <rv s="3">
    <fb>35.19</fb>
    <v>6</v>
  </rv>
  <rv s="3">
    <fb>34.880000000000003</fb>
    <v>6</v>
  </rv>
  <rv s="3">
    <fb>34.299999999999997</fb>
    <v>6</v>
  </rv>
  <rv s="3">
    <fb>35.03</fb>
    <v>6</v>
  </rv>
  <rv s="3">
    <fb>35.53</fb>
    <v>6</v>
  </rv>
  <rv s="3">
    <fb>35.14</fb>
    <v>6</v>
  </rv>
  <rv s="3">
    <fb>36.9</fb>
    <v>6</v>
  </rv>
  <rv s="3">
    <fb>36.86</fb>
    <v>6</v>
  </rv>
  <rv s="3">
    <fb>37.450000000000003</fb>
    <v>6</v>
  </rv>
  <rv s="3">
    <fb>36.090000000000003</fb>
    <v>6</v>
  </rv>
  <rv s="3">
    <fb>35.090000000000003</fb>
    <v>6</v>
  </rv>
  <rv s="3">
    <fb>35.33</fb>
    <v>6</v>
  </rv>
  <rv s="3">
    <fb>35.619999999999997</fb>
    <v>6</v>
  </rv>
  <rv s="3">
    <fb>35.770000000000003</fb>
    <v>6</v>
  </rv>
  <rv s="3">
    <fb>35.07</fb>
    <v>6</v>
  </rv>
  <rv s="3">
    <fb>35.01</fb>
    <v>6</v>
  </rv>
  <rv s="3">
    <fb>35.08</fb>
    <v>6</v>
  </rv>
  <rv s="3">
    <fb>36.299999999999997</fb>
    <v>6</v>
  </rv>
  <rv s="3">
    <fb>36.4</fb>
    <v>6</v>
  </rv>
  <rv s="3">
    <fb>36.28</fb>
    <v>6</v>
  </rv>
  <rv s="0">
    <v>https://www.bing.com/financeapi/forcetrigger?t=a25hgh&amp;q=XNAS%3aVONG&amp;form=skydnc</v>
    <v>Learn more on Bing</v>
  </rv>
  <rv s="1">
    <v>de-DE</v>
    <v>a25hgh</v>
    <v>268435456</v>
    <v>1</v>
    <v>Unterstützt von Refinitiv</v>
    <v>0</v>
    <v>1</v>
    <v>Vanguard Rus 1000 GI;ETF (XNAS:VONG)</v>
    <v>3</v>
    <v>4</v>
    <v>Finance</v>
    <v>5</v>
    <v>98.93</v>
    <v>65.849999999999994</v>
    <v>0.87</v>
    <v>8.8939999999999991E-3</v>
    <v>0.99970000000000003</v>
    <v>22513103093</v>
    <v>Nasdaq Stock Market</v>
    <v>XNAS</v>
    <v>98.93</v>
    <v>ETF</v>
    <v>8.0000000000000004E-4</v>
    <v>497</v>
    <v>45579.981712962966</v>
    <v>Vanguard Rus 1000 GI;ETF</v>
    <v>98.22</v>
    <v>98.22</v>
    <v>98.69</v>
    <v>97.82</v>
    <v>VONG</v>
    <v>Vanguard Rus 1000 GI;ETF (XNAS:VONG)</v>
    <v>693</v>
    <v>687395</v>
    <v>USD</v>
  </rv>
  <rv s="2">
    <v>498</v>
  </rv>
  <rv s="3">
    <fb>89.12</fb>
    <v>6</v>
  </rv>
  <rv s="3">
    <fb>90.14</fb>
    <v>6</v>
  </rv>
  <rv s="3">
    <fb>90.92</fb>
    <v>6</v>
  </rv>
  <rv s="3">
    <fb>92.91</fb>
    <v>6</v>
  </rv>
  <rv s="3">
    <fb>93.99</fb>
    <v>6</v>
  </rv>
  <rv s="3">
    <fb>94.42</fb>
    <v>6</v>
  </rv>
  <rv s="3">
    <fb>94.1</fb>
    <v>6</v>
  </rv>
  <rv s="3">
    <fb>94.2</fb>
    <v>6</v>
  </rv>
  <rv s="3">
    <fb>93.87</fb>
    <v>6</v>
  </rv>
  <rv s="3">
    <fb>96.11</fb>
    <v>6</v>
  </rv>
  <rv s="3">
    <fb>95.89</fb>
    <v>6</v>
  </rv>
  <rv s="3">
    <fb>96.08</fb>
    <v>6</v>
  </rv>
  <rv s="3">
    <fb>96.5</fb>
    <v>6</v>
  </rv>
  <rv s="3">
    <fb>96.64</fb>
    <v>6</v>
  </rv>
  <rv s="3">
    <fb>96.65</fb>
    <v>6</v>
  </rv>
  <rv s="3">
    <fb>96.13</fb>
    <v>6</v>
  </rv>
  <rv s="3">
    <fb>96.52</fb>
    <v>6</v>
  </rv>
  <rv s="3">
    <fb>95.27</fb>
    <v>6</v>
  </rv>
  <rv s="3">
    <fb>95.38</fb>
    <v>6</v>
  </rv>
  <rv s="3">
    <fb>95.39</fb>
    <v>6</v>
  </rv>
  <rv s="3">
    <fb>96.44</fb>
    <v>6</v>
  </rv>
  <rv s="3">
    <fb>95.41</fb>
    <v>6</v>
  </rv>
  <rv s="3">
    <fb>96.95</fb>
    <v>6</v>
  </rv>
  <rv s="3">
    <fb>97.54</fb>
    <v>6</v>
  </rv>
  <rv s="3">
    <fb>97.59</fb>
    <v>6</v>
  </rv>
  <rv s="3">
    <fb>97.82</fb>
    <v>6</v>
  </rv>
  <rv s="3">
    <fb>98.69</fb>
    <v>6</v>
  </rv>
  <rv s="0">
    <v>https://www.bing.com/financeapi/forcetrigger?t=a23hz2&amp;q=ARCX%3aSPYG&amp;form=skydnc</v>
    <v>Learn more on Bing</v>
  </rv>
  <rv s="1">
    <v>de-DE</v>
    <v>a23hz2</v>
    <v>268435456</v>
    <v>1</v>
    <v>Unterstützt von Refinitiv</v>
    <v>0</v>
    <v>1</v>
    <v>SPDR Ptf S&amp;P 500 Growth (ARCX:SPYG)</v>
    <v>3</v>
    <v>4</v>
    <v>Finance</v>
    <v>5</v>
    <v>84.909899999999993</v>
    <v>56.78</v>
    <v>0.81</v>
    <v>9.6540000000000011E-3</v>
    <v>0.999</v>
    <v>29737234771.740002</v>
    <v>NYSE Arca</v>
    <v>ARCX</v>
    <v>84.909899999999993</v>
    <v>ETF</v>
    <v>4.0000000000000002E-4</v>
    <v>527</v>
    <v>45579.989119571095</v>
    <v>SPDR Ptf S&amp;P 500 Growth</v>
    <v>84.28</v>
    <v>84.33</v>
    <v>84.71</v>
    <v>83.9</v>
    <v>SPYG</v>
    <v>SPDR Ptf S&amp;P 500 Growth (ARCX:SPYG)</v>
    <v>5387</v>
    <v>1558706</v>
    <v>USD</v>
  </rv>
  <rv s="2">
    <v>528</v>
  </rv>
  <rv s="3">
    <fb>76.41</fb>
    <v>6</v>
  </rv>
  <rv s="3">
    <fb>77.27</fb>
    <v>6</v>
  </rv>
  <rv s="3">
    <fb>77.97</fb>
    <v>6</v>
  </rv>
  <rv s="3">
    <fb>79.540000000000006</fb>
    <v>6</v>
  </rv>
  <rv s="3">
    <fb>80.459999999999994</fb>
    <v>6</v>
  </rv>
  <rv s="3">
    <fb>80.86</fb>
    <v>6</v>
  </rv>
  <rv s="3">
    <fb>80.61</fb>
    <v>6</v>
  </rv>
  <rv s="3">
    <fb>80.650000000000006</fb>
    <v>6</v>
  </rv>
  <rv s="3">
    <fb>80.36</fb>
    <v>6</v>
  </rv>
  <rv s="3">
    <fb>82.35</fb>
    <v>6</v>
  </rv>
  <rv s="3">
    <fb>82.19</fb>
    <v>6</v>
  </rv>
  <rv s="3">
    <fb>82.2</fb>
    <v>6</v>
  </rv>
  <rv s="3">
    <fb>82.6</fb>
    <v>6</v>
  </rv>
  <rv s="3">
    <fb>82.72</fb>
    <v>6</v>
  </rv>
  <rv s="3">
    <fb>82.93</fb>
    <v>6</v>
  </rv>
  <rv s="3">
    <fb>82.49</fb>
    <v>6</v>
  </rv>
  <rv s="3">
    <fb>82.94</fb>
    <v>6</v>
  </rv>
  <rv s="3">
    <fb>81.739999999999995</fb>
    <v>6</v>
  </rv>
  <rv s="3">
    <fb>81.86</fb>
    <v>6</v>
  </rv>
  <rv s="3">
    <fb>81.92</fb>
    <v>6</v>
  </rv>
  <rv s="3">
    <fb>82.84</fb>
    <v>6</v>
  </rv>
  <rv s="3">
    <fb>81.97</fb>
    <v>6</v>
  </rv>
  <rv s="3">
    <fb>83.21</fb>
    <v>6</v>
  </rv>
  <rv s="3">
    <fb>83.79</fb>
    <v>6</v>
  </rv>
  <rv s="3">
    <fb>83.72</fb>
    <v>6</v>
  </rv>
  <rv s="3">
    <fb>83.9</fb>
    <v>6</v>
  </rv>
  <rv s="3">
    <fb>84.71</fb>
    <v>6</v>
  </rv>
  <rv s="0">
    <v>https://www.bing.com/financeapi/forcetrigger?t=a1vwur&amp;q=ARCX%3aIVW&amp;form=skydnc</v>
    <v>Learn more on Bing</v>
  </rv>
  <rv s="1">
    <v>de-DE</v>
    <v>a1vwur</v>
    <v>268435456</v>
    <v>1</v>
    <v>Unterstützt von Refinitiv</v>
    <v>0</v>
    <v>1</v>
    <v>iShares:S&amp;P 500 Gro (ARCX:IVW)</v>
    <v>3</v>
    <v>4</v>
    <v>Finance</v>
    <v>7</v>
    <v>98.05</v>
    <v>65.531499999999994</v>
    <v>0.9</v>
    <v>9.2879999999999994E-3</v>
    <v>0.99960000000000004</v>
    <v>53545689878.080002</v>
    <v>NYSE Arca</v>
    <v>ARCX</v>
    <v>98.05</v>
    <v>ETF</v>
    <v>1.8E-3</v>
    <v>557</v>
    <v>45579.996288935159</v>
    <v>iShares:S&amp;P 500 Gro</v>
    <v>97.36</v>
    <v>97.36</v>
    <v>97.8</v>
    <v>96.9</v>
    <v>IVW</v>
    <v>iShares:S&amp;P 500 Gro (ARCX:IVW)</v>
    <v>375</v>
    <v>1670992</v>
    <v>USD</v>
  </rv>
  <rv s="2">
    <v>558</v>
  </rv>
  <rv s="3">
    <fb>88.22</fb>
    <v>6</v>
  </rv>
  <rv s="3">
    <fb>89.25</fb>
    <v>6</v>
  </rv>
  <rv s="3">
    <fb>90.06</fb>
    <v>6</v>
  </rv>
  <rv s="3">
    <fb>91.88</fb>
    <v>6</v>
  </rv>
  <rv s="3">
    <fb>92.92</fb>
    <v>6</v>
  </rv>
  <rv s="3">
    <fb>93.4</fb>
    <v>6</v>
  </rv>
  <rv s="3">
    <fb>93.11</fb>
    <v>6</v>
  </rv>
  <rv s="3">
    <fb>93.14</fb>
    <v>6</v>
  </rv>
  <rv s="3">
    <fb>92.82</fb>
    <v>6</v>
  </rv>
  <rv s="3">
    <fb>95.11</fb>
    <v>6</v>
  </rv>
  <rv s="3">
    <fb>94.9</fb>
    <v>6</v>
  </rv>
  <rv s="3">
    <fb>95.08</fb>
    <v>6</v>
  </rv>
  <rv s="3">
    <fb>95.53</fb>
    <v>6</v>
  </rv>
  <rv s="3">
    <fb>95.82</fb>
    <v>6</v>
  </rv>
  <rv s="3">
    <fb>95.26</fb>
    <v>6</v>
  </rv>
  <rv s="3">
    <fb>95.75</fb>
    <v>6</v>
  </rv>
  <rv s="3">
    <fb>94.41</fb>
    <v>6</v>
  </rv>
  <rv s="3">
    <fb>94.64</fb>
    <v>6</v>
  </rv>
  <rv s="3">
    <fb>95.64</fb>
    <v>6</v>
  </rv>
  <rv s="3">
    <fb>96.14</fb>
    <v>6</v>
  </rv>
  <rv s="3">
    <fb>96.74</fb>
    <v>6</v>
  </rv>
  <rv s="3">
    <fb>96.69</fb>
    <v>6</v>
  </rv>
  <rv s="3">
    <fb>96.9</fb>
    <v>6</v>
  </rv>
  <rv s="3">
    <fb>97.8</fb>
    <v>6</v>
  </rv>
  <rv s="0">
    <v>https://www.bing.com/financeapi/forcetrigger?t=a1y4cw&amp;q=BATS%3aMTUM&amp;form=skydnc</v>
    <v>Learn more on Bing</v>
  </rv>
  <rv s="1">
    <v>de-DE</v>
    <v>a1y4cw</v>
    <v>268435456</v>
    <v>1</v>
    <v>Unterstützt von Refinitiv</v>
    <v>0</v>
    <v>1</v>
    <v>iShares:MSCI USA Mom Fct (BATS:MTUM)</v>
    <v>3</v>
    <v>4</v>
    <v>Finance</v>
    <v>17</v>
    <v>209.14</v>
    <v>134.91499999999999</v>
    <v>1.57</v>
    <v>7.5709999999999996E-3</v>
    <v>0.95530000000000004</v>
    <v>10063132064.24</v>
    <v>CBOE BZX Exchange</v>
    <v>BATS</v>
    <v>209.14</v>
    <v>ETF</v>
    <v>1.5E-3</v>
    <v>584</v>
    <v>45579.836132024997</v>
    <v>iShares:MSCI USA Mom Fct</v>
    <v>207.8</v>
    <v>208.12</v>
    <v>208.93</v>
    <v>207.36</v>
    <v>MTUM</v>
    <v>iShares:MSCI USA Mom Fct (BATS:MTUM)</v>
    <v>10</v>
    <v>473958</v>
    <v>USD</v>
  </rv>
  <rv s="2">
    <v>585</v>
  </rv>
  <rv s="3">
    <fb>186.03</fb>
    <v>6</v>
  </rv>
  <rv s="3">
    <fb>189.2</fb>
    <v>6</v>
  </rv>
  <rv s="3">
    <fb>189.58</fb>
    <v>6</v>
  </rv>
  <rv s="3">
    <fb>192.61</fb>
    <v>6</v>
  </rv>
  <rv s="3">
    <fb>195.16</fb>
    <v>6</v>
  </rv>
  <rv s="3">
    <fb>196.76</fb>
    <v>6</v>
  </rv>
  <rv s="3">
    <fb>197.3</fb>
    <v>6</v>
  </rv>
  <rv s="3">
    <fb>197.18</fb>
    <v>6</v>
  </rv>
  <rv s="3">
    <fb>196.56</fb>
    <v>6</v>
  </rv>
  <rv s="3">
    <fb>200.38</fb>
    <v>6</v>
  </rv>
  <rv s="3">
    <fb>201.57</fb>
    <v>6</v>
  </rv>
  <rv s="3">
    <fb>202.7</fb>
    <v>6</v>
  </rv>
  <rv s="3">
    <fb>203</fb>
    <v>6</v>
  </rv>
  <rv s="3">
    <fb>202.95</fb>
    <v>6</v>
  </rv>
  <rv s="3">
    <fb>203.3</fb>
    <v>6</v>
  </rv>
  <rv s="3">
    <fb>201.935</fb>
    <v>6</v>
  </rv>
  <rv s="3">
    <fb>202.76</fb>
    <v>6</v>
  </rv>
  <rv s="3">
    <fb>201.63</fb>
    <v>6</v>
  </rv>
  <rv s="3">
    <fb>202.22</fb>
    <v>6</v>
  </rv>
  <rv s="3">
    <fb>201.8</fb>
    <v>6</v>
  </rv>
  <rv s="3">
    <fb>203.76</fb>
    <v>6</v>
  </rv>
  <rv s="3">
    <fb>202.3</fb>
    <v>6</v>
  </rv>
  <rv s="3">
    <fb>204.31</fb>
    <v>6</v>
  </rv>
  <rv s="3">
    <fb>205.95</fb>
    <v>6</v>
  </rv>
  <rv s="3">
    <fb>205</fb>
    <v>6</v>
  </rv>
  <rv s="3">
    <fb>207.36</fb>
    <v>6</v>
  </rv>
  <rv s="3">
    <fb>208.96</fb>
    <v>6</v>
  </rv>
  <rv s="0">
    <v>https://www.bing.com/financeapi/forcetrigger?t=a25hp2&amp;q=ARCX%3aVOOG&amp;form=skydnc</v>
    <v>Learn more on Bing</v>
  </rv>
  <rv s="1">
    <v>de-DE</v>
    <v>a25hp2</v>
    <v>268435456</v>
    <v>1</v>
    <v>Unterstützt von Refinitiv</v>
    <v>0</v>
    <v>1</v>
    <v>Vanguard S&amp;P 500G;ETF (ARCX:VOOG)</v>
    <v>3</v>
    <v>4</v>
    <v>Finance</v>
    <v>5</v>
    <v>353.52</v>
    <v>236.38</v>
    <v>3.08</v>
    <v>8.8120000000000004E-3</v>
    <v>0.99990000000000001</v>
    <v>13008619461</v>
    <v>NYSE Arca</v>
    <v>ARCX</v>
    <v>353.52</v>
    <v>ETF</v>
    <v>1E-3</v>
    <v>614</v>
    <v>45579.995302314062</v>
    <v>Vanguard S&amp;P 500G;ETF</v>
    <v>351.07</v>
    <v>351.11</v>
    <v>352.61</v>
    <v>349.53</v>
    <v>VOOG</v>
    <v>Vanguard S&amp;P 500G;ETF (ARCX:VOOG)</v>
    <v>335</v>
    <v>154131</v>
    <v>USD</v>
  </rv>
  <rv s="2">
    <v>615</v>
  </rv>
  <rv s="3">
    <fb>318.02999999999997</fb>
    <v>6</v>
  </rv>
  <rv s="3">
    <fb>321.83</fb>
    <v>6</v>
  </rv>
  <rv s="3">
    <fb>324.60000000000002</fb>
    <v>6</v>
  </rv>
  <rv s="3">
    <fb>331.36</fb>
    <v>6</v>
  </rv>
  <rv s="3">
    <fb>335.43</fb>
    <v>6</v>
  </rv>
  <rv s="3">
    <fb>336.71</fb>
    <v>6</v>
  </rv>
  <rv s="3">
    <fb>335.79</fb>
    <v>6</v>
  </rv>
  <rv s="3">
    <fb>336.01</fb>
    <v>6</v>
  </rv>
  <rv s="3">
    <fb>334.9</fb>
    <v>6</v>
  </rv>
  <rv s="3">
    <fb>343.21</fb>
    <v>6</v>
  </rv>
  <rv s="3">
    <fb>342.34</fb>
    <v>6</v>
  </rv>
  <rv s="3">
    <fb>342.83</fb>
    <v>6</v>
  </rv>
  <rv s="3">
    <fb>344.79</fb>
    <v>6</v>
  </rv>
  <rv s="3">
    <fb>344.91</fb>
    <v>6</v>
  </rv>
  <rv s="3">
    <fb>346.08</fb>
    <v>6</v>
  </rv>
  <rv s="3">
    <fb>343.73</fb>
    <v>6</v>
  </rv>
  <rv s="3">
    <fb>345.29</fb>
    <v>6</v>
  </rv>
  <rv s="3">
    <fb>340.59</fb>
    <v>6</v>
  </rv>
  <rv s="3">
    <fb>341.05</fb>
    <v>6</v>
  </rv>
  <rv s="3">
    <fb>341.3</fb>
    <v>6</v>
  </rv>
  <rv s="3">
    <fb>344.86</fb>
    <v>6</v>
  </rv>
  <rv s="3">
    <fb>341.63</fb>
    <v>6</v>
  </rv>
  <rv s="3">
    <fb>346.87</fb>
    <v>6</v>
  </rv>
  <rv s="3">
    <fb>348.97</fb>
    <v>6</v>
  </rv>
  <rv s="3">
    <fb>348.82</fb>
    <v>6</v>
  </rv>
  <rv s="3">
    <fb>349.53</fb>
    <v>6</v>
  </rv>
  <rv s="3">
    <fb>352.61</fb>
    <v>6</v>
  </rv>
  <rv s="0">
    <v>https://www.bing.com/financeapi/forcetrigger?t=bwgc1h&amp;q=XNAS%3aQQQM&amp;form=skydnc</v>
    <v>Learn more on Bing</v>
  </rv>
  <rv s="1">
    <v>de-DE</v>
    <v>bwgc1h</v>
    <v>268435456</v>
    <v>1</v>
    <v>Unterstützt von Refinitiv</v>
    <v>0</v>
    <v>1</v>
    <v>Invesco NASDAQ 100 (XNAS:QQQM)</v>
    <v>3</v>
    <v>4</v>
    <v>Finance</v>
    <v>5</v>
    <v>207.24</v>
    <v>140.84</v>
    <v>1.72</v>
    <v>8.4720000000000004E-3</v>
    <v>1.0625</v>
    <v>33875487215.790001</v>
    <v>Nasdaq Stock Market</v>
    <v>XNAS</v>
    <v>205.3</v>
    <v>ETF</v>
    <v>1.5E-3</v>
    <v>644</v>
    <v>45579.999315971872</v>
    <v>Invesco NASDAQ 100</v>
    <v>203.84</v>
    <v>204.07</v>
    <v>204.75</v>
    <v>203.03</v>
    <v>QQQM</v>
    <v>Invesco NASDAQ 100 (XNAS:QQQM)</v>
    <v>8672</v>
    <v>1920253</v>
    <v>USD</v>
  </rv>
  <rv s="2">
    <v>645</v>
  </rv>
  <rv s="3">
    <fb>184.7</fb>
    <v>6</v>
  </rv>
  <rv s="3">
    <fb>187.04</fb>
    <v>6</v>
  </rv>
  <rv s="3">
    <fb>188.73</fb>
    <v>6</v>
  </rv>
  <rv s="3">
    <fb>192.8</fb>
    <v>6</v>
  </rv>
  <rv s="3">
    <fb>194.77</fb>
    <v>6</v>
  </rv>
  <rv s="3">
    <fb>195.63</fb>
    <v>6</v>
  </rv>
  <rv s="3">
    <fb>194.79</fb>
    <v>6</v>
  </rv>
  <rv s="3">
    <fb>194.9</fb>
    <v>6</v>
  </rv>
  <rv s="3">
    <fb>194.03</fb>
    <v>6</v>
  </rv>
  <rv s="3">
    <fb>198.94</fb>
    <v>6</v>
  </rv>
  <rv s="3">
    <fb>198.59</fb>
    <v>6</v>
  </rv>
  <rv s="3">
    <fb>198.8</fb>
    <v>6</v>
  </rv>
  <rv s="3">
    <fb>199.74</fb>
    <v>6</v>
  </rv>
  <rv s="3">
    <fb>199.98</fb>
    <v>6</v>
  </rv>
  <rv s="3">
    <fb>201.44</fb>
    <v>6</v>
  </rv>
  <rv s="3">
    <fb>200.32</fb>
    <v>6</v>
  </rv>
  <rv s="3">
    <fb>200.85</fb>
    <v>6</v>
  </rv>
  <rv s="3">
    <fb>198.06</fb>
    <v>6</v>
  </rv>
  <rv s="3">
    <fb>198.36</fb>
    <v>6</v>
  </rv>
  <rv s="3">
    <fb>198.2</fb>
    <v>6</v>
  </rv>
  <rv s="3">
    <fb>200.56</fb>
    <v>6</v>
  </rv>
  <rv s="3">
    <fb>198.41</fb>
    <v>6</v>
  </rv>
  <rv s="3">
    <fb>201.38</fb>
    <v>6</v>
  </rv>
  <rv s="3">
    <fb>202.97</fb>
    <v>6</v>
  </rv>
  <rv s="3">
    <fb>202.77</fb>
    <v>6</v>
  </rv>
  <rv s="3">
    <fb>203.03</fb>
    <v>6</v>
  </rv>
  <rv s="3">
    <fb>204.75</fb>
    <v>6</v>
  </rv>
  <rv s="0">
    <v>https://www.bing.com/financeapi/forcetrigger?t=a21mim&amp;q=XNAS%3aQQQ&amp;form=skydnc</v>
    <v>Learn more on Bing</v>
  </rv>
  <rv s="1">
    <v>de-DE</v>
    <v>a21mim</v>
    <v>268435456</v>
    <v>1</v>
    <v>Unterstützt von Refinitiv</v>
    <v>0</v>
    <v>1</v>
    <v>Invesco QQQ Trust 1 (XNAS:QQQ)</v>
    <v>3</v>
    <v>4</v>
    <v>Finance</v>
    <v>5</v>
    <v>503.52</v>
    <v>342.1703</v>
    <v>4.1399999999999997</v>
    <v>8.3909999999999992E-3</v>
    <v>1.0621</v>
    <v>294439478470.76001</v>
    <v>Nasdaq Stock Market</v>
    <v>XNAS</v>
    <v>498.83</v>
    <v>ETF</v>
    <v>2E-3</v>
    <v>674</v>
    <v>45579.999972082813</v>
    <v>Invesco QQQ Trust 1</v>
    <v>495.26</v>
    <v>495.77</v>
    <v>497.5</v>
    <v>493.36</v>
    <v>QQQ</v>
    <v>Invesco QQQ Trust 1 (XNAS:QQQ)</v>
    <v>400004</v>
    <v>30902249</v>
    <v>USD</v>
  </rv>
  <rv s="2">
    <v>675</v>
  </rv>
  <rv s="3">
    <fb>448.69</fb>
    <v>6</v>
  </rv>
  <rv s="3">
    <fb>454.46</fb>
    <v>6</v>
  </rv>
  <rv s="3">
    <fb>458.66</fb>
    <v>6</v>
  </rv>
  <rv s="3">
    <fb>468.62</fb>
    <v>6</v>
  </rv>
  <rv s="3">
    <fb>473.22</fb>
    <v>6</v>
  </rv>
  <rv s="3">
    <fb>475.34</fb>
    <v>6</v>
  </rv>
  <rv s="3">
    <fb>473.24</fb>
    <v>6</v>
  </rv>
  <rv s="3">
    <fb>473.49</fb>
    <v>6</v>
  </rv>
  <rv s="3">
    <fb>471.44</fb>
    <v>6</v>
  </rv>
  <rv s="3">
    <fb>483.36</fb>
    <v>6</v>
  </rv>
  <rv s="3">
    <fb>482.44</fb>
    <v>6</v>
  </rv>
  <rv s="3">
    <fb>483.04</fb>
    <v>6</v>
  </rv>
  <rv s="3">
    <fb>485.37</fb>
    <v>6</v>
  </rv>
  <rv s="3">
    <fb>485.82</fb>
    <v>6</v>
  </rv>
  <rv s="3">
    <fb>489.47</fb>
    <v>6</v>
  </rv>
  <rv s="3">
    <fb>486.75</fb>
    <v>6</v>
  </rv>
  <rv s="3">
    <fb>488.07</fb>
    <v>6</v>
  </rv>
  <rv s="3">
    <fb>481.27</fb>
    <v>6</v>
  </rv>
  <rv s="3">
    <fb>481.95</fb>
    <v>6</v>
  </rv>
  <rv s="3">
    <fb>481.59</fb>
    <v>6</v>
  </rv>
  <rv s="3">
    <fb>487.32</fb>
    <v>6</v>
  </rv>
  <rv s="3">
    <fb>482.1</fb>
    <v>6</v>
  </rv>
  <rv s="3">
    <fb>489.3</fb>
    <v>6</v>
  </rv>
  <rv s="3">
    <fb>493.15</fb>
    <v>6</v>
  </rv>
  <rv s="3">
    <fb>492.59</fb>
    <v>6</v>
  </rv>
  <rv s="3">
    <fb>493.36</fb>
    <v>6</v>
  </rv>
  <rv s="3">
    <fb>497.5</fb>
    <v>6</v>
  </rv>
  <rv s="0">
    <v>https://www.bing.com/financeapi/forcetrigger?t=a1sgk2&amp;q=ARCX%3aEWT&amp;form=skydnc</v>
    <v>Learn more on Bing</v>
  </rv>
  <rv s="1">
    <v>de-DE</v>
    <v>a1sgk2</v>
    <v>268435456</v>
    <v>1</v>
    <v>Unterstützt von Refinitiv</v>
    <v>0</v>
    <v>1</v>
    <v>iShares:MSCI Taiwan (ARCX:EWT)</v>
    <v>3</v>
    <v>4</v>
    <v>Finance</v>
    <v>7</v>
    <v>57.69</v>
    <v>42.125</v>
    <v>0.28000000000000003</v>
    <v>5.0829999999999998E-3</v>
    <v>1.1880999999999999</v>
    <v>5332544023.1000004</v>
    <v>NYSE Arca</v>
    <v>ARCX</v>
    <v>55.39</v>
    <v>ETF</v>
    <v>5.8999999999999999E-3</v>
    <v>704</v>
    <v>45580.000000844528</v>
    <v>iShares:MSCI Taiwan</v>
    <v>54.95</v>
    <v>55.02</v>
    <v>55.37</v>
    <v>55.09</v>
    <v>EWT</v>
    <v>iShares:MSCI Taiwan (ARCX:EWT)</v>
    <v>180</v>
    <v>3521372</v>
    <v>USD</v>
  </rv>
  <rv s="2">
    <v>705</v>
  </rv>
  <rv s="3">
    <fb>50.08</fb>
    <v>6</v>
  </rv>
  <rv s="3">
    <fb>51.22</fb>
    <v>6</v>
  </rv>
  <rv s="3">
    <fb>50.8</fb>
    <v>6</v>
  </rv>
  <rv s="3">
    <fb>52</fb>
    <v>6</v>
  </rv>
  <rv s="3">
    <fb>52.5</fb>
    <v>6</v>
  </rv>
  <rv s="3">
    <fb>52.55</fb>
    <v>6</v>
  </rv>
  <rv s="3">
    <fb>52.57</fb>
    <v>6</v>
  </rv>
  <rv s="3">
    <fb>52.02</fb>
    <v>6</v>
  </rv>
  <rv s="3">
    <fb>53.71</fb>
    <v>6</v>
  </rv>
  <rv s="3">
    <fb>53.16</fb>
    <v>6</v>
  </rv>
  <rv s="3">
    <fb>53.52</fb>
    <v>6</v>
  </rv>
  <rv s="3">
    <fb>55.23</fb>
    <v>6</v>
  </rv>
  <rv s="3">
    <fb>55.01</fb>
    <v>6</v>
  </rv>
  <rv s="3">
    <fb>56.38</fb>
    <v>6</v>
  </rv>
  <rv s="3">
    <fb>55.5</fb>
    <v>6</v>
  </rv>
  <rv s="3">
    <fb>53.87</fb>
    <v>6</v>
  </rv>
  <rv s="3">
    <fb>53.51</fb>
    <v>6</v>
  </rv>
  <rv s="3">
    <fb>53.6</fb>
    <v>6</v>
  </rv>
  <rv s="3">
    <fb>53.65</fb>
    <v>6</v>
  </rv>
  <rv s="3">
    <fb>53.78</fb>
    <v>6</v>
  </rv>
  <rv s="3">
    <fb>53.69</fb>
    <v>6</v>
  </rv>
  <rv s="3">
    <fb>54.34</fb>
    <v>6</v>
  </rv>
  <rv s="3">
    <fb>54.32</fb>
    <v>6</v>
  </rv>
  <rv s="3">
    <fb>54.44</fb>
    <v>6</v>
  </rv>
  <rv s="3">
    <fb>55.09</fb>
    <v>6</v>
  </rv>
  <rv s="3">
    <fb>55.37</fb>
    <v>6</v>
  </rv>
  <rv s="0">
    <v>https://www.bing.com/financeapi/forcetrigger?t=a25mww&amp;q=ARCX%3aVV&amp;form=skydnc</v>
    <v>Learn more on Bing</v>
  </rv>
  <rv s="1">
    <v>de-DE</v>
    <v>a25mww</v>
    <v>268435456</v>
    <v>1</v>
    <v>Unterstützt von Refinitiv</v>
    <v>0</v>
    <v>1</v>
    <v>Vanguard Lg-Cp I;ETF (ARCX:VV)</v>
    <v>3</v>
    <v>4</v>
    <v>Finance</v>
    <v>7</v>
    <v>268.62990000000002</v>
    <v>187.49</v>
    <v>2.3199999999999998</v>
    <v>8.7220000000000006E-3</v>
    <v>0.99719999999999998</v>
    <v>38516113905.599998</v>
    <v>NYSE Arca</v>
    <v>ARCX</v>
    <v>268.62990000000002</v>
    <v>ETF</v>
    <v>4.0000000000000002E-4</v>
    <v>733</v>
    <v>45579.923929490622</v>
    <v>Vanguard Lg-Cp I;ETF</v>
    <v>266.7516</v>
    <v>266.89</v>
    <v>268.32</v>
    <v>266</v>
    <v>VV</v>
    <v>Vanguard Lg-Cp I;ETF (ARCX:VV)</v>
    <v>14</v>
    <v>169378</v>
    <v>USD</v>
  </rv>
  <rv s="2">
    <v>734</v>
  </rv>
  <rv s="3">
    <fb>247.72</fb>
    <v>6</v>
  </rv>
  <rv s="3">
    <fb>250.68</fb>
    <v>6</v>
  </rv>
  <rv s="3">
    <fb>251.74</fb>
    <v>6</v>
  </rv>
  <rv s="3">
    <fb>254.14</fb>
    <v>6</v>
  </rv>
  <rv s="3">
    <fb>256.57</fb>
    <v>6</v>
  </rv>
  <rv s="3">
    <fb>257.94</fb>
    <v>6</v>
  </rv>
  <rv s="3">
    <fb>258.31</fb>
    <v>6</v>
  </rv>
  <rv s="3">
    <fb>258.35000000000002</fb>
    <v>6</v>
  </rv>
  <rv s="3">
    <fb>257.56</fb>
    <v>6</v>
  </rv>
  <rv s="3">
    <fb>262.05</fb>
    <v>6</v>
  </rv>
  <rv s="3">
    <fb>261.42</fb>
    <v>6</v>
  </rv>
  <rv s="3">
    <fb>262.22000000000003</fb>
    <v>6</v>
  </rv>
  <rv s="3">
    <fb>262.98</fb>
    <v>6</v>
  </rv>
  <rv s="3">
    <fb>262.26</fb>
    <v>6</v>
  </rv>
  <rv s="3">
    <fb>263.39999999999998</fb>
    <v>6</v>
  </rv>
  <rv s="3">
    <fb>262.11</fb>
    <v>6</v>
  </rv>
  <rv s="3">
    <fb>263.29000000000002</fb>
    <v>6</v>
  </rv>
  <rv s="3">
    <fb>260.95</fb>
    <v>6</v>
  </rv>
  <rv s="3">
    <fb>260.98</fb>
    <v>6</v>
  </rv>
  <rv s="3">
    <fb>260.32</fb>
    <v>6</v>
  </rv>
  <rv s="3">
    <fb>263.01</fb>
    <v>6</v>
  </rv>
  <rv s="3">
    <fb>260.27</fb>
    <v>6</v>
  </rv>
  <rv s="3">
    <fb>263.10000000000002</fb>
    <v>6</v>
  </rv>
  <rv s="3">
    <fb>264.74</fb>
    <v>6</v>
  </rv>
  <rv s="3">
    <fb>264.51</fb>
    <v>6</v>
  </rv>
  <rv s="3">
    <fb>266</fb>
    <v>6</v>
  </rv>
  <rv s="3">
    <fb>268.32</fb>
    <v>6</v>
  </rv>
  <rv s="0">
    <v>https://www.bing.com/financeapi/forcetrigger?t=a1su4c&amp;q=ARCX%3aFFTY&amp;form=skydnc</v>
    <v>Learn more on Bing</v>
  </rv>
  <rv s="1">
    <v>de-DE</v>
    <v>a1su4c</v>
    <v>268435456</v>
    <v>1</v>
    <v>Unterstützt von Refinitiv</v>
    <v>0</v>
    <v>1</v>
    <v>Innovator IBD 50 (ARCX:FFTY)</v>
    <v>3</v>
    <v>4</v>
    <v>Finance</v>
    <v>5</v>
    <v>29.15</v>
    <v>20.55</v>
    <v>0.19919999999999999</v>
    <v>7.2170000000000003E-3</v>
    <v>1.1816</v>
    <v>65957104.409999996</v>
    <v>NYSE Arca</v>
    <v>ARCX</v>
    <v>27.84</v>
    <v>ETF</v>
    <v>8.0000000000000002E-3</v>
    <v>763</v>
    <v>45579.840277777781</v>
    <v>Innovator IBD 50</v>
    <v>27.65</v>
    <v>27.73</v>
    <v>27.8</v>
    <v>27.6008</v>
    <v>FFTY</v>
    <v>Innovator IBD 50 (ARCX:FFTY)</v>
    <v>1</v>
    <v>57046</v>
    <v>USD</v>
  </rv>
  <rv s="2">
    <v>764</v>
  </rv>
  <rv s="3">
    <fb>24.33</fb>
    <v>6</v>
  </rv>
  <rv s="3">
    <fb>24.85</fb>
    <v>6</v>
  </rv>
  <rv s="3">
    <fb>24.75</fb>
    <v>6</v>
  </rv>
  <rv s="3">
    <fb>25.19</fb>
    <v>6</v>
  </rv>
  <rv s="3">
    <fb>25.588999999999999</fb>
    <v>6</v>
  </rv>
  <rv s="3">
    <fb>26.02</fb>
    <v>6</v>
  </rv>
  <rv s="3">
    <fb>26.125</fb>
    <v>6</v>
  </rv>
  <rv s="3">
    <fb>26.273299999999999</fb>
    <v>6</v>
  </rv>
  <rv s="3">
    <fb>26.41</fb>
    <v>6</v>
  </rv>
  <rv s="3">
    <fb>26.97</fb>
    <v>6</v>
  </rv>
  <rv s="3">
    <fb>26.99</fb>
    <v>6</v>
  </rv>
  <rv s="3">
    <fb>26.95</fb>
    <v>6</v>
  </rv>
  <rv s="3">
    <fb>26.89</fb>
    <v>6</v>
  </rv>
  <rv s="3">
    <fb>26.82</fb>
    <v>6</v>
  </rv>
  <rv s="3">
    <fb>26.6</fb>
    <v>6</v>
  </rv>
  <rv s="3">
    <fb>26.759599999999999</fb>
    <v>6</v>
  </rv>
  <rv s="3">
    <fb>26.9</fb>
    <v>6</v>
  </rv>
  <rv s="3">
    <fb>26.52</fb>
    <v>6</v>
  </rv>
  <rv s="3">
    <fb>26.58</fb>
    <v>6</v>
  </rv>
  <rv s="3">
    <fb>27.11</fb>
    <v>6</v>
  </rv>
  <rv s="3">
    <fb>27.29</fb>
    <v>6</v>
  </rv>
  <rv s="3">
    <fb>27.49</fb>
    <v>6</v>
  </rv>
  <rv s="3">
    <fb>27.14</fb>
    <v>6</v>
  </rv>
  <rv s="3">
    <fb>27.6008</fb>
    <v>6</v>
  </rv>
  <rv s="3">
    <fb>27.8</fb>
    <v>6</v>
  </rv>
  <rv s="0">
    <v>https://www.bing.com/financeapi/forcetrigger?t=a25hm7&amp;q=ARCX%3aVOO&amp;form=skydnc</v>
    <v>Learn more on Bing</v>
  </rv>
  <rv s="1">
    <v>de-DE</v>
    <v>a25hm7</v>
    <v>268435456</v>
    <v>1</v>
    <v>Unterstützt von Refinitiv</v>
    <v>0</v>
    <v>1</v>
    <v>Vanguard 500 Idx;ETF (ARCX:VOO)</v>
    <v>3</v>
    <v>4</v>
    <v>Finance</v>
    <v>5</v>
    <v>537.98</v>
    <v>375.94499999999999</v>
    <v>4.3600000000000003</v>
    <v>8.1849999999999996E-3</v>
    <v>1.0001</v>
    <v>528169389646.03003</v>
    <v>NYSE Arca</v>
    <v>ARCX</v>
    <v>537.98</v>
    <v>ETF</v>
    <v>2.9999999999999997E-4</v>
    <v>791</v>
    <v>45580.000000046093</v>
    <v>Vanguard 500 Idx;ETF</v>
    <v>533.97</v>
    <v>534.25</v>
    <v>537.07000000000005</v>
    <v>532.71</v>
    <v>VOO</v>
    <v>Vanguard 500 Idx;ETF (ARCX:VOO)</v>
    <v>51278</v>
    <v>7130546</v>
    <v>USD</v>
  </rv>
  <rv s="2">
    <v>792</v>
  </rv>
  <rv s="3">
    <fb>496.64</fb>
    <v>6</v>
  </rv>
  <rv s="3">
    <fb>502.23</fb>
    <v>6</v>
  </rv>
  <rv s="3">
    <fb>504.3</fb>
    <v>6</v>
  </rv>
  <rv s="3">
    <fb>509.46</fb>
    <v>6</v>
  </rv>
  <rv s="3">
    <fb>513.84</fb>
    <v>6</v>
  </rv>
  <rv s="3">
    <fb>516.57000000000005</fb>
    <v>6</v>
  </rv>
  <rv s="3">
    <fb>517.35</fb>
    <v>6</v>
  </rv>
  <rv s="3">
    <fb>517.59</fb>
    <v>6</v>
  </rv>
  <rv s="3">
    <fb>515.91</fb>
    <v>6</v>
  </rv>
  <rv s="3">
    <fb>524.91</fb>
    <v>6</v>
  </rv>
  <rv s="3">
    <fb>523.88</fb>
    <v>6</v>
  </rv>
  <rv s="3">
    <fb>525.16999999999996</fb>
    <v>6</v>
  </rv>
  <rv s="3">
    <fb>526.67999999999995</fb>
    <v>6</v>
  </rv>
  <rv s="3">
    <fb>525.61</fb>
    <v>6</v>
  </rv>
  <rv s="3">
    <fb>527.70000000000005</fb>
    <v>6</v>
  </rv>
  <rv s="3">
    <fb>525.38</fb>
    <v>6</v>
  </rv>
  <rv s="3">
    <fb>527.66999999999996</fb>
    <v>6</v>
  </rv>
  <rv s="3">
    <fb>522.74</fb>
    <v>6</v>
  </rv>
  <rv s="3">
    <fb>522.83000000000004</fb>
    <v>6</v>
  </rv>
  <rv s="3">
    <fb>521.84</fb>
    <v>6</v>
  </rv>
  <rv s="3">
    <fb>526.65</fb>
    <v>6</v>
  </rv>
  <rv s="3">
    <fb>521.91</fb>
    <v>6</v>
  </rv>
  <rv s="3">
    <fb>526.85</fb>
    <v>6</v>
  </rv>
  <rv s="3">
    <fb>530.45000000000005</fb>
    <v>6</v>
  </rv>
  <rv s="3">
    <fb>529.55999999999995</fb>
    <v>6</v>
  </rv>
  <rv s="3">
    <fb>532.71</fb>
    <v>6</v>
  </rv>
  <rv s="3">
    <fb>537.07000000000005</fb>
    <v>6</v>
  </rv>
  <rv s="0">
    <v>https://www.bing.com/financeapi/forcetrigger?t=a1tqp2&amp;q=ARCX%3aGDX&amp;form=skydnc</v>
    <v>Learn more on Bing</v>
  </rv>
  <rv s="1">
    <v>de-DE</v>
    <v>a1tqp2</v>
    <v>268435456</v>
    <v>1</v>
    <v>Unterstützt von Refinitiv</v>
    <v>0</v>
    <v>1</v>
    <v>VanEck:Gold Miners (ARCX:GDX)</v>
    <v>3</v>
    <v>4</v>
    <v>Finance</v>
    <v>5</v>
    <v>41.95</v>
    <v>25.67</v>
    <v>0.11</v>
    <v>2.7469999999999999E-3</v>
    <v>0.95299999999999996</v>
    <v>15361770293.459999</v>
    <v>NYSE Arca</v>
    <v>ARCX</v>
    <v>40.305</v>
    <v>ETF</v>
    <v>5.1000000000000004E-3</v>
    <v>821</v>
    <v>45579.999481053128</v>
    <v>VanEck:Gold Miners</v>
    <v>39.68</v>
    <v>39.93</v>
    <v>40.159999999999997</v>
    <v>40.049999999999997</v>
    <v>GDX</v>
    <v>VanEck:Gold Miners (ARCX:GDX)</v>
    <v>83365</v>
    <v>20210661</v>
    <v>USD</v>
  </rv>
  <rv s="2">
    <v>822</v>
  </rv>
  <rv s="3">
    <fb>36.32</fb>
    <v>6</v>
  </rv>
  <rv s="3">
    <fb>36.76</fb>
    <v>6</v>
  </rv>
  <rv s="3">
    <fb>37.22</fb>
    <v>6</v>
  </rv>
  <rv s="3">
    <fb>39.21</fb>
    <v>6</v>
  </rv>
  <rv s="3">
    <fb>40.090000000000003</fb>
    <v>6</v>
  </rv>
  <rv s="3">
    <fb>39.89</fb>
    <v>6</v>
  </rv>
  <rv s="3">
    <fb>39.49</fb>
    <v>6</v>
  </rv>
  <rv s="3">
    <fb>39.06</fb>
    <v>6</v>
  </rv>
  <rv s="3">
    <fb>39.72</fb>
    <v>6</v>
  </rv>
  <rv s="3">
    <fb>40.51</fb>
    <v>6</v>
  </rv>
  <rv s="3">
    <fb>40.33</fb>
    <v>6</v>
  </rv>
  <rv s="3">
    <fb>41.41</fb>
    <v>6</v>
  </rv>
  <rv s="3">
    <fb>41.31</fb>
    <v>6</v>
  </rv>
  <rv s="3">
    <fb>41.64</fb>
    <v>6</v>
  </rv>
  <rv s="3">
    <fb>40.36</fb>
    <v>6</v>
  </rv>
  <rv s="3">
    <fb>39.82</fb>
    <v>6</v>
  </rv>
  <rv s="3">
    <fb>40.450000000000003</fb>
    <v>6</v>
  </rv>
  <rv s="3">
    <fb>40.369999999999997</fb>
    <v>6</v>
  </rv>
  <rv s="3">
    <fb>39.56</fb>
    <v>6</v>
  </rv>
  <rv s="3">
    <fb>39.549999999999997</fb>
    <v>6</v>
  </rv>
  <rv s="3">
    <fb>39.03</fb>
    <v>6</v>
  </rv>
  <rv s="3">
    <fb>38.99</fb>
    <v>6</v>
  </rv>
  <rv s="3">
    <fb>38.79</fb>
    <v>6</v>
  </rv>
  <rv s="3">
    <fb>39.869999999999997</fb>
    <v>6</v>
  </rv>
  <rv s="3">
    <fb>40.049999999999997</fb>
    <v>6</v>
  </rv>
  <rv s="3">
    <fb>40.159999999999997</fb>
    <v>6</v>
  </rv>
  <rv s="0">
    <v>https://www.bing.com/financeapi/forcetrigger?t=a1w3nm&amp;q=ARCX%3aJETS&amp;form=skydnc</v>
    <v>Learn more on Bing</v>
  </rv>
  <rv s="1">
    <v>de-DE</v>
    <v>a1w3nm</v>
    <v>268435456</v>
    <v>1</v>
    <v>Unterstützt von Refinitiv</v>
    <v>0</v>
    <v>1</v>
    <v>US Global Jets (ARCX:JETS)</v>
    <v>3</v>
    <v>4</v>
    <v>Finance</v>
    <v>5</v>
    <v>21.38</v>
    <v>14.69</v>
    <v>0.18</v>
    <v>8.5470000000000008E-3</v>
    <v>1.2319</v>
    <v>1101187555.4300001</v>
    <v>NYSE Arca</v>
    <v>ARCX</v>
    <v>21.3</v>
    <v>ETF</v>
    <v>6.0000000000000001E-3</v>
    <v>850</v>
    <v>45579.999285138278</v>
    <v>US Global Jets</v>
    <v>20.97</v>
    <v>21.01</v>
    <v>21.24</v>
    <v>21.06</v>
    <v>JETS</v>
    <v>US Global Jets (ARCX:JETS)</v>
    <v>22984</v>
    <v>2527608</v>
    <v>USD</v>
  </rv>
  <rv s="2">
    <v>851</v>
  </rv>
  <rv s="3">
    <fb>18.59</fb>
    <v>6</v>
  </rv>
  <rv s="3">
    <fb>19.079999999999998</fb>
    <v>6</v>
  </rv>
  <rv s="3">
    <fb>18.91</fb>
    <v>6</v>
  </rv>
  <rv s="3">
    <fb>18.93</fb>
    <v>6</v>
  </rv>
  <rv s="3">
    <fb>19.190000000000001</fb>
    <v>6</v>
  </rv>
  <rv s="3">
    <fb>19.28</fb>
    <v>6</v>
  </rv>
  <rv s="3">
    <fb>19.309999999999999</fb>
    <v>6</v>
  </rv>
  <rv s="3">
    <fb>19.66</fb>
    <v>6</v>
  </rv>
  <rv s="3">
    <fb>19.68</fb>
    <v>6</v>
  </rv>
  <rv s="3">
    <fb>19.809999999999999</fb>
    <v>6</v>
  </rv>
  <rv s="3">
    <fb>19.79</fb>
    <v>6</v>
  </rv>
  <rv s="3">
    <fb>19.77</fb>
    <v>6</v>
  </rv>
  <rv s="3">
    <fb>20.11</fb>
    <v>6</v>
  </rv>
  <rv s="3">
    <fb>19.89</fb>
    <v>6</v>
  </rv>
  <rv s="3">
    <fb>20.8</fb>
    <v>6</v>
  </rv>
  <rv s="3">
    <fb>20.84</fb>
    <v>6</v>
  </rv>
  <rv s="3">
    <fb>20.72</fb>
    <v>6</v>
  </rv>
  <rv s="3">
    <fb>20.46</fb>
    <v>6</v>
  </rv>
  <rv s="3">
    <fb>20.22</fb>
    <v>6</v>
  </rv>
  <rv s="3">
    <fb>20.04</fb>
    <v>6</v>
  </rv>
  <rv s="3">
    <fb>20.71</fb>
    <v>6</v>
  </rv>
  <rv s="3">
    <fb>20.67</fb>
    <v>6</v>
  </rv>
  <rv s="3">
    <fb>20.83</fb>
    <v>6</v>
  </rv>
  <rv s="3">
    <fb>20.77</fb>
    <v>6</v>
  </rv>
  <rv s="3">
    <fb>20.86</fb>
    <v>6</v>
  </rv>
  <rv s="3">
    <fb>21.06</fb>
    <v>6</v>
  </rv>
  <rv s="3">
    <fb>21.24</fb>
    <v>6</v>
  </rv>
  <rv s="0">
    <v>https://www.bing.com/financeapi/forcetrigger?t=a25ma2&amp;q=ARCX%3aVTV&amp;form=skydnc</v>
    <v>Learn more on Bing</v>
  </rv>
  <rv s="1">
    <v>de-DE</v>
    <v>a25ma2</v>
    <v>268435456</v>
    <v>1</v>
    <v>Unterstützt von Refinitiv</v>
    <v>0</v>
    <v>1</v>
    <v>Vanguard Val Idx;ETF (ARCX:VTV)</v>
    <v>3</v>
    <v>4</v>
    <v>Finance</v>
    <v>5</v>
    <v>177.54</v>
    <v>131.41999999999999</v>
    <v>1.1000000000000001</v>
    <v>6.2389999999999998E-3</v>
    <v>0.92849999999999999</v>
    <v>128592731324</v>
    <v>NYSE Arca</v>
    <v>ARCX</v>
    <v>177.54</v>
    <v>ETF</v>
    <v>4.0000000000000002E-4</v>
    <v>880</v>
    <v>45579.995130635936</v>
    <v>Vanguard Val Idx;ETF</v>
    <v>175.97</v>
    <v>176.34</v>
    <v>177.41</v>
    <v>176.31</v>
    <v>VTV</v>
    <v>Vanguard Val Idx;ETF (ARCX:VTV)</v>
    <v>1129</v>
    <v>1580218</v>
    <v>USD</v>
  </rv>
  <rv s="2">
    <v>881</v>
  </rv>
  <rv s="3">
    <fb>167.42</fb>
    <v>6</v>
  </rv>
  <rv s="3">
    <fb>169.19</fb>
    <v>6</v>
  </rv>
  <rv s="3">
    <fb>169.38</fb>
    <v>6</v>
  </rv>
  <rv s="3">
    <fb>170.21</fb>
    <v>6</v>
  </rv>
  <rv s="3">
    <fb>171.43</fb>
    <v>6</v>
  </rv>
  <rv s="3">
    <fb>172.79</fb>
    <v>6</v>
  </rv>
  <rv s="3">
    <fb>172.72</fb>
    <v>6</v>
  </rv>
  <rv s="3">
    <fb>172.34</fb>
    <v>6</v>
  </rv>
  <rv s="3">
    <fb>173.85</fb>
    <v>6</v>
  </rv>
  <rv s="3">
    <fb>173.69</fb>
    <v>6</v>
  </rv>
  <rv s="3">
    <fb>174.3</fb>
    <v>6</v>
  </rv>
  <rv s="3">
    <fb>174.38</fb>
    <v>6</v>
  </rv>
  <rv s="3">
    <fb>173.34</fb>
    <v>6</v>
  </rv>
  <rv s="3">
    <fb>173.39</fb>
    <v>6</v>
  </rv>
  <rv s="3">
    <fb>173.95</fb>
    <v>6</v>
  </rv>
  <rv s="3">
    <fb>174.57</fb>
    <v>6</v>
  </rv>
  <rv s="3">
    <fb>174.15</fb>
    <v>6</v>
  </rv>
  <rv s="3">
    <fb>174.03</fb>
    <v>6</v>
  </rv>
  <rv s="3">
    <fb>173.27</fb>
    <v>6</v>
  </rv>
  <rv s="3">
    <fb>174.62</fb>
    <v>6</v>
  </rv>
  <rv s="3">
    <fb>173.31</fb>
    <v>6</v>
  </rv>
  <rv s="3">
    <fb>173.5</fb>
    <v>6</v>
  </rv>
  <rv s="3">
    <fb>175.02</fb>
    <v>6</v>
  </rv>
  <rv s="3">
    <fb>174.48</fb>
    <v>6</v>
  </rv>
  <rv s="3">
    <fb>176.31</fb>
    <v>6</v>
  </rv>
  <rv s="3">
    <fb>177.41</fb>
    <v>6</v>
  </rv>
  <rv s="0">
    <v>https://www.bing.com/financeapi/forcetrigger?t=a1yndm&amp;q=BATS%3aNOBL&amp;form=skydnc</v>
    <v>Learn more on Bing</v>
  </rv>
  <rv s="1">
    <v>de-DE</v>
    <v>a1yndm</v>
    <v>268435456</v>
    <v>1</v>
    <v>Unterstützt von Refinitiv</v>
    <v>0</v>
    <v>1</v>
    <v>ProShares:S&amp;P 500 Dv Art (BATS:NOBL)</v>
    <v>3</v>
    <v>4</v>
    <v>Finance</v>
    <v>17</v>
    <v>107.29</v>
    <v>83.855000000000004</v>
    <v>0.69</v>
    <v>6.4809999999999998E-3</v>
    <v>0.97850000000000004</v>
    <v>12681867396.809999</v>
    <v>CBOE BZX Exchange</v>
    <v>BATS</v>
    <v>107.23</v>
    <v>ETF</v>
    <v>3.4999999999999996E-3</v>
    <v>909</v>
    <v>45579.931306330465</v>
    <v>ProShares:S&amp;P 500 Dv Art</v>
    <v>106.15</v>
    <v>106.47</v>
    <v>107.16</v>
    <v>106.47</v>
    <v>NOBL</v>
    <v>ProShares:S&amp;P 500 Dv Art (BATS:NOBL)</v>
    <v>57</v>
    <v>409712</v>
    <v>USD</v>
  </rv>
  <rv s="2">
    <v>910</v>
  </rv>
  <rv s="3">
    <fb>102.94</fb>
    <v>6</v>
  </rv>
  <rv s="3">
    <fb>104.05</fb>
    <v>6</v>
  </rv>
  <rv s="3">
    <fb>104.31</fb>
    <v>6</v>
  </rv>
  <rv s="3">
    <fb>103.84</fb>
    <v>6</v>
  </rv>
  <rv s="3">
    <fb>104.42</fb>
    <v>6</v>
  </rv>
  <rv s="3">
    <fb>105.12</fb>
    <v>6</v>
  </rv>
  <rv s="3">
    <fb>105.89</fb>
    <v>6</v>
  </rv>
  <rv s="3">
    <fb>105.68</fb>
    <v>6</v>
  </rv>
  <rv s="3">
    <fb>105.35</fb>
    <v>6</v>
  </rv>
  <rv s="3">
    <fb>105.93</fb>
    <v>6</v>
  </rv>
  <rv s="3">
    <fb>105.5</fb>
    <v>6</v>
  </rv>
  <rv s="3">
    <fb>106.28</fb>
    <v>6</v>
  </rv>
  <rv s="3">
    <fb>106.54</fb>
    <v>6</v>
  </rv>
  <rv s="3">
    <fb>106.18</fb>
    <v>6</v>
  </rv>
  <rv s="3">
    <fb>106.56</fb>
    <v>6</v>
  </rv>
  <rv s="3">
    <fb>106.76</fb>
    <v>6</v>
  </rv>
  <rv s="3">
    <fb>106.67</fb>
    <v>6</v>
  </rv>
  <rv s="3">
    <fb>106.3</fb>
    <v>6</v>
  </rv>
  <rv s="3">
    <fb>105.37</fb>
    <v>6</v>
  </rv>
  <rv s="3">
    <fb>105.73</fb>
    <v>6</v>
  </rv>
  <rv s="3">
    <fb>104.94</fb>
    <v>6</v>
  </rv>
  <rv s="3">
    <fb>105.11</fb>
    <v>6</v>
  </rv>
  <rv s="3">
    <fb>105.66</fb>
    <v>6</v>
  </rv>
  <rv s="3">
    <fb>105.45</fb>
    <v>6</v>
  </rv>
  <rv s="3">
    <fb>106.47</fb>
    <v>6</v>
  </rv>
  <rv s="3">
    <fb>107.22</fb>
    <v>6</v>
  </rv>
  <rv s="0">
    <v>https://www.bing.com/financeapi/forcetrigger?t=a24yz2&amp;q=ARCX%3aURA&amp;form=skydnc</v>
    <v>Learn more on Bing</v>
  </rv>
  <rv s="1">
    <v>de-DE</v>
    <v>a24yz2</v>
    <v>268435456</v>
    <v>1</v>
    <v>Unterstützt von Refinitiv</v>
    <v>0</v>
    <v>1</v>
    <v>Glbl X Uranium ETF (ARCX:URA)</v>
    <v>3</v>
    <v>4</v>
    <v>Finance</v>
    <v>5</v>
    <v>33.659999999999997</v>
    <v>22.785</v>
    <v>0.17</v>
    <v>5.6670000000000002E-3</v>
    <v>0.60170000000000001</v>
    <v>3358974400</v>
    <v>NYSE Arca</v>
    <v>ARCX</v>
    <v>30.21</v>
    <v>ETF</v>
    <v>6.8999999999999999E-3</v>
    <v>938</v>
    <v>45580.000000057815</v>
    <v>Glbl X Uranium ETF</v>
    <v>29.65</v>
    <v>30.01</v>
    <v>30.17</v>
    <v>30</v>
    <v>URA</v>
    <v>Glbl X Uranium ETF (ARCX:URA)</v>
    <v>11992</v>
    <v>2735067</v>
    <v>USD</v>
  </rv>
  <rv s="2">
    <v>939</v>
  </rv>
  <rv s="3">
    <fb>23.18</fb>
    <v>6</v>
  </rv>
  <rv s="3">
    <fb>23.59</fb>
    <v>6</v>
  </rv>
  <rv s="3">
    <fb>24.1</fb>
    <v>6</v>
  </rv>
  <rv s="3">
    <fb>25.34</fb>
    <v>6</v>
  </rv>
  <rv s="3">
    <fb>25.81</fb>
    <v>6</v>
  </rv>
  <rv s="3">
    <fb>25.43</fb>
    <v>6</v>
  </rv>
  <rv s="3">
    <fb>25.61</fb>
    <v>6</v>
  </rv>
  <rv s="3">
    <fb>25.27</fb>
    <v>6</v>
  </rv>
  <rv s="3">
    <fb>25.18</fb>
    <v>6</v>
  </rv>
  <rv s="3">
    <fb>26.1</fb>
    <v>6</v>
  </rv>
  <rv s="3">
    <fb>27.18</fb>
    <v>6</v>
  </rv>
  <rv s="3">
    <fb>28</fb>
    <v>6</v>
  </rv>
  <rv s="3">
    <fb>28.83</fb>
    <v>6</v>
  </rv>
  <rv s="3">
    <fb>28.88</fb>
    <v>6</v>
  </rv>
  <rv s="3">
    <fb>29.14</fb>
    <v>6</v>
  </rv>
  <rv s="3">
    <fb>29.1</fb>
    <v>6</v>
  </rv>
  <rv s="3">
    <fb>28.61</fb>
    <v>6</v>
  </rv>
  <rv s="3">
    <fb>29.25</fb>
    <v>6</v>
  </rv>
  <rv s="3">
    <fb>29.87</fb>
    <v>6</v>
  </rv>
  <rv s="3">
    <fb>29.66</fb>
    <v>6</v>
  </rv>
  <rv s="3">
    <fb>30.32</fb>
    <v>6</v>
  </rv>
  <rv s="3">
    <fb>29.85</fb>
    <v>6</v>
  </rv>
  <rv s="3">
    <fb>30</fb>
    <v>6</v>
  </rv>
  <rv s="3">
    <fb>29.46</fb>
    <v>6</v>
  </rv>
  <rv s="3">
    <fb>29.57</fb>
    <v>6</v>
  </rv>
  <rv s="3">
    <fb>30.17</fb>
    <v>6</v>
  </rv>
  <rv s="0">
    <v>https://www.bing.com/financeapi/forcetrigger?t=a1v9r7&amp;q=ARCX%3aIDEV&amp;form=skydnc</v>
    <v>Learn more on Bing</v>
  </rv>
  <rv s="1">
    <v>de-DE</v>
    <v>a1v9r7</v>
    <v>268435456</v>
    <v>1</v>
    <v>Unterstützt von Refinitiv</v>
    <v>0</v>
    <v>1</v>
    <v>iShares:Cr MSCI Intl DM (ARCX:IDEV)</v>
    <v>3</v>
    <v>4</v>
    <v>Finance</v>
    <v>7</v>
    <v>71.540000000000006</v>
    <v>55.31</v>
    <v>0.15</v>
    <v>2.15E-3</v>
    <v>1.0430999999999999</v>
    <v>15084549368.5</v>
    <v>NYSE Arca</v>
    <v>ARCX</v>
    <v>69.977199999999996</v>
    <v>ETF</v>
    <v>4.0000000000000002E-4</v>
    <v>967</v>
    <v>45579.840277777781</v>
    <v>iShares:Cr MSCI Intl DM</v>
    <v>69.52</v>
    <v>69.59</v>
    <v>69.92</v>
    <v>69.77</v>
    <v>IDEV</v>
    <v>iShares:Cr MSCI Intl DM (ARCX:IDEV)</v>
    <v>8</v>
    <v>613655</v>
    <v>USD</v>
  </rv>
  <rv s="2">
    <v>968</v>
  </rv>
  <rv s="3">
    <fb>67.400000000000006</fb>
    <v>6</v>
  </rv>
  <rv s="3">
    <fb>68.069999999999993</fb>
    <v>6</v>
  </rv>
  <rv s="3">
    <fb>67.81</fb>
    <v>6</v>
  </rv>
  <rv s="3">
    <fb>68.209999999999994</fb>
    <v>6</v>
  </rv>
  <rv s="3">
    <fb>68.84</fb>
    <v>6</v>
  </rv>
  <rv s="3">
    <fb>69.02</fb>
    <v>6</v>
  </rv>
  <rv s="3">
    <fb>69.569999999999993</fb>
    <v>6</v>
  </rv>
  <rv s="3">
    <fb>69.180000000000007</fb>
    <v>6</v>
  </rv>
  <rv s="3">
    <fb>68.95</fb>
    <v>6</v>
  </rv>
  <rv s="3">
    <fb>70.31</fb>
    <v>6</v>
  </rv>
  <rv s="3">
    <fb>69.66</fb>
    <v>6</v>
  </rv>
  <rv s="3">
    <fb>69.97</fb>
    <v>6</v>
  </rv>
  <rv s="3">
    <fb>70.37</fb>
    <v>6</v>
  </rv>
  <rv s="3">
    <fb>69.98</fb>
    <v>6</v>
  </rv>
  <rv s="3">
    <fb>71.02</fb>
    <v>6</v>
  </rv>
  <rv s="3">
    <fb>70.83</fb>
    <v>6</v>
  </rv>
  <rv s="3">
    <fb>70.42</fb>
    <v>6</v>
  </rv>
  <rv s="3">
    <fb>70.209999999999994</fb>
    <v>6</v>
  </rv>
  <rv s="3">
    <fb>69.599999999999994</fb>
    <v>6</v>
  </rv>
  <rv s="3">
    <fb>70.06</fb>
    <v>6</v>
  </rv>
  <rv s="3">
    <fb>69.63</fb>
    <v>6</v>
  </rv>
  <rv s="3">
    <fb>69.459999999999994</fb>
    <v>6</v>
  </rv>
  <rv s="3">
    <fb>69.540000000000006</fb>
    <v>6</v>
  </rv>
  <rv s="3">
    <fb>69.44</fb>
    <v>6</v>
  </rv>
  <rv s="3">
    <fb>69.77</fb>
    <v>6</v>
  </rv>
  <rv s="3">
    <fb>69.92</fb>
    <v>6</v>
  </rv>
  <rv s="0">
    <v>https://www.bing.com/financeapi/forcetrigger?t=a1twnm&amp;q=ARCX%3aGLD&amp;form=skydnc</v>
    <v>Learn more on Bing</v>
  </rv>
  <rv s="1">
    <v>de-DE</v>
    <v>a1twnm</v>
    <v>268435456</v>
    <v>1</v>
    <v>Unterstützt von Refinitiv</v>
    <v>0</v>
    <v>1</v>
    <v>SPDR Gold (ARCX:GLD)</v>
    <v>3</v>
    <v>4</v>
    <v>Finance</v>
    <v>5</v>
    <v>247.37</v>
    <v>177.535</v>
    <v>-0.4</v>
    <v>-1.6300000000000002E-3</v>
    <v>0.78669999999999995</v>
    <v>73704146727.660004</v>
    <v>NYSE Arca</v>
    <v>ARCX</v>
    <v>245.86</v>
    <v>ETF</v>
    <v>4.0000000000000001E-3</v>
    <v>996</v>
    <v>45580.000000022657</v>
    <v>SPDR Gold</v>
    <v>244.26</v>
    <v>245.16</v>
    <v>245.07</v>
    <v>245.47</v>
    <v>GLD</v>
    <v>SPDR Gold (ARCX:GLD)</v>
    <v>171715</v>
    <v>6559360</v>
    <v>USD</v>
  </rv>
  <rv s="2">
    <v>997</v>
  </rv>
  <rv s="3">
    <fb>230.63</fb>
    <v>6</v>
  </rv>
  <rv s="3">
    <fb>231.6</fb>
    <v>6</v>
  </rv>
  <rv s="3">
    <fb>232.62</fb>
    <v>6</v>
  </rv>
  <rv s="3">
    <fb>232.25</fb>
    <v>6</v>
  </rv>
  <rv s="3">
    <fb>236.33</fb>
    <v>6</v>
  </rv>
  <rv s="3">
    <fb>238.68</fb>
    <v>6</v>
  </rv>
  <rv s="3">
    <fb>238.66</fb>
    <v>6</v>
  </rv>
  <rv s="3">
    <fb>237.34</fb>
    <v>6</v>
  </rv>
  <rv s="3">
    <fb>235.51</fb>
    <v>6</v>
  </rv>
  <rv s="3">
    <fb>239.17</fb>
    <v>6</v>
  </rv>
  <rv s="3">
    <fb>242.21</fb>
    <v>6</v>
  </rv>
  <rv s="3">
    <fb>242.68</fb>
    <v>6</v>
  </rv>
  <rv s="3">
    <fb>246.07</fb>
    <v>6</v>
  </rv>
  <rv s="3">
    <fb>245.73</fb>
    <v>6</v>
  </rv>
  <rv s="3">
    <fb>246.98</fb>
    <v>6</v>
  </rv>
  <rv s="3">
    <fb>245.02</fb>
    <v>6</v>
  </rv>
  <rv s="3">
    <fb>243.06</fb>
    <v>6</v>
  </rv>
  <rv s="3">
    <fb>245.61</fb>
    <v>6</v>
  </rv>
  <rv s="3">
    <fb>245.66</fb>
    <v>6</v>
  </rv>
  <rv s="3">
    <fb>245.49</fb>
    <v>6</v>
  </rv>
  <rv s="3">
    <fb>245</fb>
    <v>6</v>
  </rv>
  <rv s="3">
    <fb>244.17</fb>
    <v>6</v>
  </rv>
  <rv s="3">
    <fb>242.37</fb>
    <v>6</v>
  </rv>
  <rv s="3">
    <fb>241.05</fb>
    <v>6</v>
  </rv>
  <rv s="3">
    <fb>242.82</fb>
    <v>6</v>
  </rv>
  <rv s="3">
    <fb>245.47</fb>
    <v>6</v>
  </rv>
  <rv s="3">
    <fb>245.07</fb>
    <v>6</v>
  </rv>
  <rv s="0">
    <v>https://www.bing.com/financeapi/forcetrigger?t=a1vbec&amp;q=BATS%3aIEFA&amp;form=skydnc</v>
    <v>Learn more on Bing</v>
  </rv>
  <rv s="1">
    <v>de-DE</v>
    <v>a1vbec</v>
    <v>268435456</v>
    <v>1</v>
    <v>Unterstützt von Refinitiv</v>
    <v>0</v>
    <v>1</v>
    <v>iShares:Core MSCI EAFE (BATS:IEFA)</v>
    <v>3</v>
    <v>4</v>
    <v>Finance</v>
    <v>17</v>
    <v>78.825000000000003</v>
    <v>61.15</v>
    <v>0.12</v>
    <v>1.5640000000000001E-3</v>
    <v>1.0452999999999999</v>
    <v>126188370048.82001</v>
    <v>CBOE BZX Exchange</v>
    <v>BATS</v>
    <v>76.919799999999995</v>
    <v>ETF</v>
    <v>7.000000000000001E-4</v>
    <v>1026</v>
    <v>45579.819004767967</v>
    <v>iShares:Core MSCI EAFE</v>
    <v>76.385000000000005</v>
    <v>76.42</v>
    <v>76.849999999999994</v>
    <v>76.73</v>
    <v>IEFA</v>
    <v>iShares:Core MSCI EAFE (BATS:IEFA)</v>
    <v>580</v>
    <v>6427349</v>
    <v>USD</v>
  </rv>
  <rv s="2">
    <v>1027</v>
  </rv>
  <rv s="3">
    <fb>74.28</fb>
    <v>6</v>
  </rv>
  <rv s="3">
    <fb>75.06</fb>
    <v>6</v>
  </rv>
  <rv s="3">
    <fb>74.790000000000006</fb>
    <v>6</v>
  </rv>
  <rv s="3">
    <fb>75.180000000000007</fb>
    <v>6</v>
  </rv>
  <rv s="3">
    <fb>75.819999999999993</fb>
    <v>6</v>
  </rv>
  <rv s="3">
    <fb>76.010000000000005</fb>
    <v>6</v>
  </rv>
  <rv s="3">
    <fb>76.63</fb>
    <v>6</v>
  </rv>
  <rv s="3">
    <fb>76.17</fb>
    <v>6</v>
  </rv>
  <rv s="3">
    <fb>75.959999999999994</fb>
    <v>6</v>
  </rv>
  <rv s="3">
    <fb>77.459999999999994</fb>
    <v>6</v>
  </rv>
  <rv s="3">
    <fb>76.7</fb>
    <v>6</v>
  </rv>
  <rv s="3">
    <fb>77.010000000000005</fb>
    <v>6</v>
  </rv>
  <rv s="3">
    <fb>77.42</fb>
    <v>6</v>
  </rv>
  <rv s="3">
    <fb>76.989999999999995</fb>
    <v>6</v>
  </rv>
  <rv s="3">
    <fb>78.739999999999995</fb>
    <v>6</v>
  </rv>
  <rv s="3">
    <fb>78.25</fb>
    <v>6</v>
  </rv>
  <rv s="3">
    <fb>78.05</fb>
    <v>6</v>
  </rv>
  <rv s="3">
    <fb>77.25</fb>
    <v>6</v>
  </rv>
  <rv s="3">
    <fb>76.5</fb>
    <v>6</v>
  </rv>
  <rv s="3">
    <fb>77.040000000000006</fb>
    <v>6</v>
  </rv>
  <rv s="3">
    <fb>76.58</fb>
    <v>6</v>
  </rv>
  <rv s="3">
    <fb>76.39</fb>
    <v>6</v>
  </rv>
  <rv s="3">
    <fb>76.42</fb>
    <v>6</v>
  </rv>
  <rv s="3">
    <fb>76.28</fb>
    <v>6</v>
  </rv>
  <rv s="3">
    <fb>76.73</fb>
    <v>6</v>
  </rv>
  <rv s="3">
    <fb>76.849999999999994</fb>
    <v>6</v>
  </rv>
  <rv s="0">
    <v>https://www.bing.com/financeapi/forcetrigger?t=a1sfkr&amp;q=ARCX%3aEWJ&amp;form=skydnc</v>
    <v>Learn more on Bing</v>
  </rv>
  <rv s="1">
    <v>de-DE</v>
    <v>a1sfkr</v>
    <v>268435456</v>
    <v>1</v>
    <v>Unterstützt von Refinitiv</v>
    <v>0</v>
    <v>1</v>
    <v>iShares:MSCI Japan (ARCX:EWJ)</v>
    <v>3</v>
    <v>4</v>
    <v>Finance</v>
    <v>7</v>
    <v>73.239999999999995</v>
    <v>57.2</v>
    <v>0.12</v>
    <v>1.689E-3</v>
    <v>0.98880000000000001</v>
    <v>14883142119.030001</v>
    <v>NYSE Arca</v>
    <v>ARCX</v>
    <v>71.215000000000003</v>
    <v>ETF</v>
    <v>5.0000000000000001E-3</v>
    <v>1055</v>
    <v>45580.000000878907</v>
    <v>iShares:MSCI Japan</v>
    <v>70.83</v>
    <v>70.88</v>
    <v>71.17</v>
    <v>71.05</v>
    <v>EWJ</v>
    <v>iShares:MSCI Japan (ARCX:EWJ)</v>
    <v>5070</v>
    <v>4482137</v>
    <v>USD</v>
  </rv>
  <rv s="2">
    <v>1056</v>
  </rv>
  <rv s="3">
    <fb>68.09</fb>
    <v>6</v>
  </rv>
  <rv s="3">
    <fb>69.33</fb>
    <v>6</v>
  </rv>
  <rv s="3">
    <fb>69.14</fb>
    <v>6</v>
  </rv>
  <rv s="3">
    <fb>69.56</fb>
    <v>6</v>
  </rv>
  <rv s="3">
    <fb>70.25</fb>
    <v>6</v>
  </rv>
  <rv s="3">
    <fb>69.87</fb>
    <v>6</v>
  </rv>
  <rv s="3">
    <fb>70.540000000000006</fb>
    <v>6</v>
  </rv>
  <rv s="3">
    <fb>69.709999999999994</fb>
    <v>6</v>
  </rv>
  <rv s="3">
    <fb>69.39</fb>
    <v>6</v>
  </rv>
  <rv s="3">
    <fb>71.23</fb>
    <v>6</v>
  </rv>
  <rv s="3">
    <fb>71.27</fb>
    <v>6</v>
  </rv>
  <rv s="3">
    <fb>71.7</fb>
    <v>6</v>
  </rv>
  <rv s="3">
    <fb>71.08</fb>
    <v>6</v>
  </rv>
  <rv s="3">
    <fb>70.95</fb>
    <v>6</v>
  </rv>
  <rv s="3">
    <fb>72.989999999999995</fb>
    <v>6</v>
  </rv>
  <rv s="3">
    <fb>71.540000000000006</fb>
    <v>6</v>
  </rv>
  <rv s="3">
    <fb>71.64</fb>
    <v>6</v>
  </rv>
  <rv s="3">
    <fb>71.88</fb>
    <v>6</v>
  </rv>
  <rv s="3">
    <fb>71.040000000000006</fb>
    <v>6</v>
  </rv>
  <rv s="3">
    <fb>71.260000000000005</fb>
    <v>6</v>
  </rv>
  <rv s="3">
    <fb>70.89</fb>
    <v>6</v>
  </rv>
  <rv s="3">
    <fb>70.900000000000006</fb>
    <v>6</v>
  </rv>
  <rv s="3">
    <fb>71.05</fb>
    <v>6</v>
  </rv>
  <rv s="3">
    <fb>71.17</fb>
    <v>6</v>
  </rv>
  <rv s="0">
    <v>https://www.bing.com/financeapi/forcetrigger?t=a2491h&amp;q=ARCX%3aTIP&amp;form=skydnc</v>
    <v>Learn more on Bing</v>
  </rv>
  <rv s="1">
    <v>de-DE</v>
    <v>a2491h</v>
    <v>268435456</v>
    <v>1</v>
    <v>Unterstützt von Refinitiv</v>
    <v>0</v>
    <v>1</v>
    <v>iShares:TIPS Bd ETF (ARCX:TIP)</v>
    <v>3</v>
    <v>4</v>
    <v>Finance</v>
    <v>7</v>
    <v>111.06</v>
    <v>102.32</v>
    <v>-0.11</v>
    <v>-1.005E-3</v>
    <v>0.99</v>
    <v>18433219803.889999</v>
    <v>NYSE Arca</v>
    <v>ARCX</v>
    <v>109.4</v>
    <v>ETF</v>
    <v>1.9E-3</v>
    <v>1082</v>
    <v>45579.885050439065</v>
    <v>iShares:TIPS Bd ETF</v>
    <v>109.08499999999999</v>
    <v>109.1</v>
    <v>109.37</v>
    <v>109.48</v>
    <v>TIP</v>
    <v>iShares:TIPS Bd ETF (ARCX:TIP)</v>
    <v>104</v>
    <v>1754343</v>
    <v>USD</v>
  </rv>
  <rv s="2">
    <v>1083</v>
  </rv>
  <rv s="3">
    <fb>109.49</fb>
    <v>6</v>
  </rv>
  <rv s="3">
    <fb>109.74</fb>
    <v>6</v>
  </rv>
  <rv s="3">
    <fb>109.98</fb>
    <v>6</v>
  </rv>
  <rv s="3">
    <fb>110.05</fb>
    <v>6</v>
  </rv>
  <rv s="3">
    <fb>110.07</fb>
    <v>6</v>
  </rv>
  <rv s="3">
    <fb>110.44</fb>
    <v>6</v>
  </rv>
  <rv s="3">
    <fb>110.82</fb>
    <v>6</v>
  </rv>
  <rv s="3">
    <fb>110.78</fb>
    <v>6</v>
  </rv>
  <rv s="3">
    <fb>110.37</fb>
    <v>6</v>
  </rv>
  <rv s="3">
    <fb>110.7</fb>
    <v>6</v>
  </rv>
  <rv s="3">
    <fb>110.55</fb>
    <v>6</v>
  </rv>
  <rv s="3">
    <fb>110.56</fb>
    <v>6</v>
  </rv>
  <rv s="3">
    <fb>110.83</fb>
    <v>6</v>
  </rv>
  <rv s="3">
    <fb>110.41</fb>
    <v>6</v>
  </rv>
  <rv s="3">
    <fb>110.27</fb>
    <v>6</v>
  </rv>
  <rv s="3">
    <fb>110.54</fb>
    <v>6</v>
  </rv>
  <rv s="3">
    <fb>110.47</fb>
    <v>6</v>
  </rv>
  <rv s="3">
    <fb>110.71</fb>
    <v>6</v>
  </rv>
  <rv s="3">
    <fb>110.61</fb>
    <v>6</v>
  </rv>
  <rv s="3">
    <fb>110.14</fb>
    <v>6</v>
  </rv>
  <rv s="3">
    <fb>109.39</fb>
    <v>6</v>
  </rv>
  <rv s="3">
    <fb>109.27</fb>
    <v>6</v>
  </rv>
  <rv s="3">
    <fb>109.45</fb>
    <v>6</v>
  </rv>
  <rv s="3">
    <fb>109.25</fb>
    <v>6</v>
  </rv>
  <rv s="3">
    <fb>109.47</fb>
    <v>6</v>
  </rv>
  <rv s="3">
    <fb>109.48</fb>
    <v>6</v>
  </rv>
  <rv s="3">
    <fb>109.37</fb>
    <v>6</v>
  </rv>
  <rv s="0">
    <v>https://www.bing.com/financeapi/forcetrigger?t=a1n26h&amp;q=ARCX%3aAGG&amp;form=skydnc</v>
    <v>Learn more on Bing</v>
  </rv>
  <rv s="1">
    <v>de-DE</v>
    <v>a1n26h</v>
    <v>268435456</v>
    <v>1</v>
    <v>Unterstützt von Refinitiv</v>
    <v>0</v>
    <v>1</v>
    <v>iShares:Core US Agg Bd (ARCX:AGG)</v>
    <v>3</v>
    <v>4</v>
    <v>Finance</v>
    <v>7</v>
    <v>102.04</v>
    <v>91.581900000000005</v>
    <v>-0.09</v>
    <v>-9.0450000000000003E-4</v>
    <v>0.99539999999999995</v>
    <v>120216713836.89</v>
    <v>NYSE Arca</v>
    <v>ARCX</v>
    <v>99.42</v>
    <v>ETF</v>
    <v>2.9999999999999997E-4</v>
    <v>1112</v>
    <v>45579.967952488281</v>
    <v>iShares:Core US Agg Bd</v>
    <v>99.170100000000005</v>
    <v>99.2</v>
    <v>99.41</v>
    <v>99.5</v>
    <v>AGG</v>
    <v>iShares:Core US Agg Bd (ARCX:AGG)</v>
    <v>637</v>
    <v>7206765</v>
    <v>USD</v>
  </rv>
  <rv s="2">
    <v>1113</v>
  </rv>
  <rv s="3">
    <fb>101.19</fb>
    <v>6</v>
  </rv>
  <rv s="3">
    <fb>101.34</fb>
    <v>6</v>
  </rv>
  <rv s="3">
    <fb>101.65</fb>
    <v>6</v>
  </rv>
  <rv s="3">
    <fb>101.62</fb>
    <v>6</v>
  </rv>
  <rv s="3">
    <fb>101.53</fb>
    <v>6</v>
  </rv>
  <rv s="3">
    <fb>101.74</fb>
    <v>6</v>
  </rv>
  <rv s="3">
    <fb>101.98</fb>
    <v>6</v>
  </rv>
  <rv s="3">
    <fb>101.88</fb>
    <v>6</v>
  </rv>
  <rv s="3">
    <fb>101.56</fb>
    <v>6</v>
  </rv>
  <rv s="3">
    <fb>101.57</fb>
    <v>6</v>
  </rv>
  <rv s="3">
    <fb>101.48</fb>
    <v>6</v>
  </rv>
  <rv s="3">
    <fb>101.44</fb>
    <v>6</v>
  </rv>
  <rv s="3">
    <fb>101.58</fb>
    <v>6</v>
  </rv>
  <rv s="3">
    <fb>101.21</fb>
    <v>6</v>
  </rv>
  <rv s="3">
    <fb>101.5</fb>
    <v>6</v>
  </rv>
  <rv s="3">
    <fb>101.27</fb>
    <v>6</v>
  </rv>
  <rv s="3">
    <fb>101.23</fb>
    <v>6</v>
  </rv>
  <rv s="3">
    <fb>101.02</fb>
    <v>6</v>
  </rv>
  <rv s="3">
    <fb>100.61</fb>
    <v>6</v>
  </rv>
  <rv s="3">
    <fb>99.96</fb>
    <v>6</v>
  </rv>
  <rv s="3">
    <fb>99.62</fb>
    <v>6</v>
  </rv>
  <rv s="3">
    <fb>99.79</fb>
    <v>6</v>
  </rv>
  <rv s="3">
    <fb>99.53</fb>
    <v>6</v>
  </rv>
  <rv s="3">
    <fb>99.47</fb>
    <v>6</v>
  </rv>
  <rv s="3">
    <fb>99.5</fb>
    <v>6</v>
  </rv>
  <rv s="3">
    <fb>99.41</fb>
    <v>6</v>
  </rv>
  <rv s="0">
    <v>https://www.bing.com/financeapi/forcetrigger?t=a1vbbh&amp;q=XNAS%3aIEF&amp;form=skydnc</v>
    <v>Learn more on Bing</v>
  </rv>
  <rv s="1">
    <v>de-DE</v>
    <v>a1vbbh</v>
    <v>268435456</v>
    <v>1</v>
    <v>Unterstützt von Refinitiv</v>
    <v>0</v>
    <v>1</v>
    <v>iShares:7-10 Trs Bd (XNAS:IEF)</v>
    <v>3</v>
    <v>4</v>
    <v>Finance</v>
    <v>5</v>
    <v>99.18</v>
    <v>88.855000000000004</v>
    <v>-0.17</v>
    <v>-1.7730000000000001E-3</v>
    <v>1.1365000000000001</v>
    <v>33939936224.290001</v>
    <v>Nasdaq Stock Market</v>
    <v>XNAS</v>
    <v>95.69</v>
    <v>ETF</v>
    <v>1.5E-3</v>
    <v>1141</v>
    <v>45579.987856793749</v>
    <v>iShares:7-10 Trs Bd</v>
    <v>95.405000000000001</v>
    <v>95.46</v>
    <v>95.69</v>
    <v>95.86</v>
    <v>IEF</v>
    <v>iShares:7-10 Trs Bd (XNAS:IEF)</v>
    <v>17138</v>
    <v>7939009</v>
    <v>USD</v>
  </rv>
  <rv s="2">
    <v>1142</v>
  </rv>
  <rv s="3">
    <fb>98.36</fb>
    <v>6</v>
  </rv>
  <rv s="3">
    <fb>98.5</fb>
    <v>6</v>
  </rv>
  <rv s="3">
    <fb>98.92</fb>
    <v>6</v>
  </rv>
  <rv s="3">
    <fb>98.85</fb>
    <v>6</v>
  </rv>
  <rv s="3">
    <fb>98.88</fb>
    <v>6</v>
  </rv>
  <rv s="3">
    <fb>99.14</fb>
    <v>6</v>
  </rv>
  <rv s="3">
    <fb>98.96</fb>
    <v>6</v>
  </rv>
  <rv s="3">
    <fb>98.53</fb>
    <v>6</v>
  </rv>
  <rv s="3">
    <fb>98.45</fb>
    <v>6</v>
  </rv>
  <rv s="3">
    <fb>98.42</fb>
    <v>6</v>
  </rv>
  <rv s="3">
    <fb>98.47</fb>
    <v>6</v>
  </rv>
  <rv s="3">
    <fb>98.07</fb>
    <v>6</v>
  </rv>
  <rv s="3">
    <fb>98</fb>
    <v>6</v>
  </rv>
  <rv s="3">
    <fb>98.39</fb>
    <v>6</v>
  </rv>
  <rv s="3">
    <fb>98.12</fb>
    <v>6</v>
  </rv>
  <rv s="3">
    <fb>98.19</fb>
    <v>6</v>
  </rv>
  <rv s="3">
    <fb>97.91</fb>
    <v>6</v>
  </rv>
  <rv s="3">
    <fb>97.41</fb>
    <v>6</v>
  </rv>
  <rv s="3">
    <fb>96.47</fb>
    <v>6</v>
  </rv>
  <rv s="3">
    <fb>96.12</fb>
    <v>6</v>
  </rv>
  <rv s="3">
    <fb>96.2</fb>
    <v>6</v>
  </rv>
  <rv s="3">
    <fb>95.84</fb>
    <v>6</v>
  </rv>
  <rv s="3">
    <fb>95.83</fb>
    <v>6</v>
  </rv>
  <rv s="3">
    <fb>95.86</fb>
    <v>6</v>
  </rv>
  <rv s="3">
    <fb>95.69</fb>
    <v>6</v>
  </rv>
  <rv s="0">
    <v>https://www.bing.com/financeapi/forcetrigger?t=a25ntc&amp;q=XNAS%3aVXUS&amp;form=skydnc</v>
    <v>Learn more on Bing</v>
  </rv>
  <rv s="1">
    <v>de-DE</v>
    <v>a25ntc</v>
    <v>268435456</v>
    <v>1</v>
    <v>Unterstützt von Refinitiv</v>
    <v>0</v>
    <v>1</v>
    <v>Vanguard Tot I S;ETF (XNAS:VXUS)</v>
    <v>3</v>
    <v>4</v>
    <v>Finance</v>
    <v>5</v>
    <v>65.52</v>
    <v>50.95</v>
    <v>3.5000000000000003E-2</v>
    <v>5.4589999999999999E-4</v>
    <v>0.9698</v>
    <v>79805450044</v>
    <v>Nasdaq Stock Market</v>
    <v>XNAS</v>
    <v>64.225099999999998</v>
    <v>ETF</v>
    <v>8.0000000000000004E-4</v>
    <v>1169</v>
    <v>45579.996241909372</v>
    <v>Vanguard Tot I S;ETF</v>
    <v>63.813299999999998</v>
    <v>63.95</v>
    <v>64.144999999999996</v>
    <v>64.11</v>
    <v>VXUS</v>
    <v>Vanguard Tot I S;ETF (XNAS:VXUS)</v>
    <v>907</v>
    <v>2829353</v>
    <v>USD</v>
  </rv>
  <rv s="2">
    <v>1170</v>
  </rv>
  <rv s="3">
    <fb>61.12</fb>
    <v>6</v>
  </rv>
  <rv s="3">
    <fb>61.75</fb>
    <v>6</v>
  </rv>
  <rv s="3">
    <fb>61.5</fb>
    <v>6</v>
  </rv>
  <rv s="3">
    <fb>61.85</fb>
    <v>6</v>
  </rv>
  <rv s="3">
    <fb>62.41</fb>
    <v>6</v>
  </rv>
  <rv s="3">
    <fb>62.99</fb>
    <v>6</v>
  </rv>
  <rv s="3">
    <fb>62.79</fb>
    <v>6</v>
  </rv>
  <rv s="3">
    <fb>63.8</fb>
    <v>6</v>
  </rv>
  <rv s="3">
    <fb>63.08</fb>
    <v>6</v>
  </rv>
  <rv s="3">
    <fb>63.41</fb>
    <v>6</v>
  </rv>
  <rv s="3">
    <fb>64.290000000000006</fb>
    <v>6</v>
  </rv>
  <rv s="3">
    <fb>65.37</fb>
    <v>6</v>
  </rv>
  <rv s="3">
    <fb>65.08</fb>
    <v>6</v>
  </rv>
  <rv s="3">
    <fb>64.739999999999995</fb>
    <v>6</v>
  </rv>
  <rv s="3">
    <fb>64.569999999999993</fb>
    <v>6</v>
  </rv>
  <rv s="3">
    <fb>64.8</fb>
    <v>6</v>
  </rv>
  <rv s="3">
    <fb>64.12</fb>
    <v>6</v>
  </rv>
  <rv s="3">
    <fb>64.61</fb>
    <v>6</v>
  </rv>
  <rv s="3">
    <fb>64.48</fb>
    <v>6</v>
  </rv>
  <rv s="3">
    <fb>63.87</fb>
    <v>6</v>
  </rv>
  <rv s="3">
    <fb>63.74</fb>
    <v>6</v>
  </rv>
  <rv s="3">
    <fb>64.11</fb>
    <v>6</v>
  </rv>
  <rv s="3">
    <fb>64.144999999999996</fb>
    <v>6</v>
  </rv>
  <rv s="0">
    <v>https://www.bing.com/financeapi/forcetrigger?t=a25acw&amp;q=ARCX%3aVEU&amp;form=skydnc</v>
    <v>Learn more on Bing</v>
  </rv>
  <rv s="1">
    <v>de-DE</v>
    <v>a25acw</v>
    <v>268435456</v>
    <v>1</v>
    <v>Unterstützt von Refinitiv</v>
    <v>0</v>
    <v>1</v>
    <v>Vanguard FTSE xUS;ETF (ARCX:VEU)</v>
    <v>3</v>
    <v>4</v>
    <v>Finance</v>
    <v>7</v>
    <v>63.81</v>
    <v>49.473199999999999</v>
    <v>0</v>
    <v>0</v>
    <v>0.96250000000000002</v>
    <v>41354383461.379997</v>
    <v>NYSE Arca</v>
    <v>ARCX</v>
    <v>62.56</v>
    <v>ETF</v>
    <v>7.000000000000001E-4</v>
    <v>1195</v>
    <v>45579.885818171097</v>
    <v>Vanguard FTSE xUS;ETF</v>
    <v>62.14</v>
    <v>62.22</v>
    <v>62.47</v>
    <v>62.47</v>
    <v>VEU</v>
    <v>Vanguard FTSE xUS;ETF (ARCX:VEU)</v>
    <v>337</v>
    <v>1645045</v>
    <v>USD</v>
  </rv>
  <rv s="2">
    <v>1196</v>
  </rv>
  <rv s="3">
    <fb>59.49</fb>
    <v>6</v>
  </rv>
  <rv s="3">
    <fb>60.07</fb>
    <v>6</v>
  </rv>
  <rv s="3">
    <fb>59.83</fb>
    <v>6</v>
  </rv>
  <rv s="3">
    <fb>60.2</fb>
    <v>6</v>
  </rv>
  <rv s="3">
    <fb>60.73</fb>
    <v>6</v>
  </rv>
  <rv s="3">
    <fb>60.92</fb>
    <v>6</v>
  </rv>
  <rv s="3">
    <fb>61.31</fb>
    <v>6</v>
  </rv>
  <rv s="3">
    <fb>61.07</fb>
    <v>6</v>
  </rv>
  <rv s="3">
    <fb>60.89</fb>
    <v>6</v>
  </rv>
  <rv s="3">
    <fb>62.06</fb>
    <v>6</v>
  </rv>
  <rv s="3">
    <fb>61.42</fb>
    <v>6</v>
  </rv>
  <rv s="3">
    <fb>61.71</fb>
    <v>6</v>
  </rv>
  <rv s="3">
    <fb>62.57</fb>
    <v>6</v>
  </rv>
  <rv s="3">
    <fb>62.09</fb>
    <v>6</v>
  </rv>
  <rv s="3">
    <fb>63.69</fb>
    <v>6</v>
  </rv>
  <rv s="3">
    <fb>63.38</fb>
    <v>6</v>
  </rv>
  <rv s="3">
    <fb>63</fb>
    <v>6</v>
  </rv>
  <rv s="3">
    <fb>62.86</fb>
    <v>6</v>
  </rv>
  <rv s="3">
    <fb>63.13</fb>
    <v>6</v>
  </rv>
  <rv s="3">
    <fb>62.43</fb>
    <v>6</v>
  </rv>
  <rv s="3">
    <fb>62.93</fb>
    <v>6</v>
  </rv>
  <rv s="3">
    <fb>62.81</fb>
    <v>6</v>
  </rv>
  <rv s="3">
    <fb>62.28</fb>
    <v>6</v>
  </rv>
  <rv s="3">
    <fb>62.18</fb>
    <v>6</v>
  </rv>
  <rv s="3">
    <fb>62.13</fb>
    <v>6</v>
  </rv>
  <rv s="3">
    <fb>62.47</fb>
    <v>6</v>
  </rv>
  <rv s="0">
    <v>https://www.bing.com/financeapi/forcetrigger?t=c4g8ur&amp;q=XWAR%3aSLV&amp;form=skydnc</v>
    <v>Learn more on Bing</v>
  </rv>
  <rv s="6">
    <v>de-DE</v>
    <v>c4g8ur</v>
    <v>268435456</v>
    <v>1</v>
    <v>Unterstützt von Refinitiv</v>
    <v>18</v>
    <v>19</v>
    <v>Selvita Ltd. (XWAR:SLV)</v>
    <v>14</v>
    <v>20</v>
    <v>Finance</v>
    <v>21</v>
    <v>73</v>
    <v>55.4</v>
    <v>0.1</v>
    <v>1.6669999999999999E-3</v>
    <v>18355470</v>
    <v>Selvita SA, ehemals Selvita Cro SA, ist ein in Polen ansässiges integriertes Dienstleistungsunternehmen, das in der pharmazeutischen und biotechnologischen Industrie tätig ist. Das Unternehmen beschäftigt sich mit der Bereitstellung multidisziplinärer Lösungen zur Unterstützung von Kunden und Projekten im Bereich der Arzneimittelforschung, regulatorischer Studien sowie Forschung und Entwicklung. Es bietet seinen Kunden Unterstützung bei der Arzneimittelforschung in jeder Phase der frühen Entdeckungsphase bis hin zur präklinischen Forschung, von der Zielvalidierung bis zur Auswahl eines klinischen Kandidaten. Außerdem bietet es Dienstleistungen in jeder Phase des Arzneimittelfindungsprozesses im Bereich der Arzneimittelprüfung und bioanalytischen Analysen an, von der Entwicklung und Validierung von Methoden, Stabilitätsstudien bis hin zu routinemäßigen Qualitätskontrolltests. Das Unternehmen kooperiert mit zahlreichen Forschungsinstituten und Universitäten aus Europa und den USA.</v>
    <v>0.18679999999999999</v>
    <v>1101328000</v>
    <v>Warsaw Stock Exchange</v>
    <v>XWAR</v>
    <v>XWAR</v>
    <v>Hexagon, Ul. Podole 79, KRAKOW, WOJ. MALOPOLSKIE, 30-394 PL</v>
    <v>60.2</v>
    <v>Biotechnology &amp; Medical Research</v>
    <v>Aktie</v>
    <v>23.273800000000001</v>
    <v>1224</v>
    <v>45580.534639467187</v>
    <v>382</v>
    <v>Selvita Ltd.</v>
    <v>59.7</v>
    <v>Selvita Ltd.</v>
    <v>60</v>
    <v>60.1</v>
    <v>60</v>
    <v>SLV</v>
    <v>Selvita Ltd. (XWAR:SLV)</v>
    <v>2019</v>
    <v>512</v>
    <v>3400</v>
    <v>PLN</v>
  </rv>
  <rv s="2">
    <v>1225</v>
  </rv>
  <rv s="3">
    <fb>25.48</fb>
    <v>6</v>
  </rv>
  <rv s="3">
    <fb>25.85</fb>
    <v>6</v>
  </rv>
  <rv s="3">
    <fb>25.94</fb>
    <v>6</v>
  </rv>
  <rv s="3">
    <fb>26.12</fb>
    <v>6</v>
  </rv>
  <rv s="3">
    <fb>27.27</fb>
    <v>6</v>
  </rv>
  <rv s="3">
    <fb>28.02</fb>
    <v>6</v>
  </rv>
  <rv s="3">
    <fb>28.07</fb>
    <v>6</v>
  </rv>
  <rv s="3">
    <fb>27.96</fb>
    <v>6</v>
  </rv>
  <rv s="3">
    <fb>27.24</fb>
    <v>6</v>
  </rv>
  <rv s="3">
    <fb>28.09</fb>
    <v>6</v>
  </rv>
  <rv s="3">
    <fb>28.41</fb>
    <v>6</v>
  </rv>
  <rv s="3">
    <fb>27.98</fb>
    <v>6</v>
  </rv>
  <rv s="3">
    <fb>29.38</fb>
    <v>6</v>
  </rv>
  <rv s="3">
    <fb>29.06</fb>
    <v>6</v>
  </rv>
  <rv s="3">
    <fb>29.26</fb>
    <v>6</v>
  </rv>
  <rv s="3">
    <fb>28.86</fb>
    <v>6</v>
  </rv>
  <rv s="3">
    <fb>28.58</fb>
    <v>6</v>
  </rv>
  <rv s="3">
    <fb>29</fb>
    <v>6</v>
  </rv>
  <rv s="3">
    <fb>29.23</fb>
    <v>6</v>
  </rv>
  <rv s="3">
    <fb>29.36</fb>
    <v>6</v>
  </rv>
  <rv s="3">
    <fb>28.93</fb>
    <v>6</v>
  </rv>
  <rv s="3">
    <fb>28.01</fb>
    <v>6</v>
  </rv>
  <rv s="3">
    <fb>27.86</fb>
    <v>6</v>
  </rv>
  <rv s="3">
    <fb>28.38</fb>
    <v>6</v>
  </rv>
  <rv s="3">
    <fb>28.8</fb>
    <v>6</v>
  </rv>
  <rv s="3">
    <fb>28.54</fb>
    <v>6</v>
  </rv>
  <rv s="0">
    <v>https://www.bing.com/financeapi/forcetrigger?t=a269pr&amp;q=ARCX%3aXOP&amp;form=skydnc</v>
    <v>Learn more on Bing</v>
  </rv>
  <rv s="1">
    <v>de-DE</v>
    <v>a269pr</v>
    <v>268435456</v>
    <v>1</v>
    <v>Unterstützt von Refinitiv</v>
    <v>0</v>
    <v>1</v>
    <v>SPDR S&amp;P Oil&amp;Gas Exp (ARCX:XOP)</v>
    <v>3</v>
    <v>4</v>
    <v>Finance</v>
    <v>5</v>
    <v>162.49</v>
    <v>124.12</v>
    <v>-1.92</v>
    <v>-1.3645000000000001E-2</v>
    <v>1.2721</v>
    <v>2695356961.8499999</v>
    <v>NYSE Arca</v>
    <v>ARCX</v>
    <v>139.85</v>
    <v>ETF</v>
    <v>3.4999999999999996E-3</v>
    <v>1253</v>
    <v>45579.999116620311</v>
    <v>SPDR S&amp;P Oil&amp;Gas Exp</v>
    <v>137.99</v>
    <v>139.31</v>
    <v>138.79</v>
    <v>140.71</v>
    <v>XOP</v>
    <v>SPDR S&amp;P Oil&amp;Gas Exp (ARCX:XOP)</v>
    <v>27899</v>
    <v>3646374</v>
    <v>USD</v>
  </rv>
  <rv s="2">
    <v>1254</v>
  </rv>
  <rv s="3">
    <fb>129.12</fb>
    <v>6</v>
  </rv>
  <rv s="3">
    <fb>128.32</fb>
    <v>6</v>
  </rv>
  <rv s="3">
    <fb>126.92</fb>
    <v>6</v>
  </rv>
  <rv s="3">
    <fb>126.87</fb>
    <v>6</v>
  </rv>
  <rv s="3">
    <fb>127.25</fb>
    <v>6</v>
  </rv>
  <rv s="3">
    <fb>128.55000000000001</fb>
    <v>6</v>
  </rv>
  <rv s="3">
    <fb>129.86000000000001</fb>
    <v>6</v>
  </rv>
  <rv s="3">
    <fb>132.19</fb>
    <v>6</v>
  </rv>
  <rv s="3">
    <fb>132.66999999999999</fb>
    <v>6</v>
  </rv>
  <rv s="3">
    <fb>134.82</fb>
    <v>6</v>
  </rv>
  <rv s="3">
    <fb>134.81</fb>
    <v>6</v>
  </rv>
  <rv s="3">
    <fb>135.13999999999999</fb>
    <v>6</v>
  </rv>
  <rv s="3">
    <fb>134.28</fb>
    <v>6</v>
  </rv>
  <rv s="3">
    <fb>131.1</fb>
    <v>6</v>
  </rv>
  <rv s="3">
    <fb>127.95</fb>
    <v>6</v>
  </rv>
  <rv s="3">
    <fb>131.13999999999999</fb>
    <v>6</v>
  </rv>
  <rv s="3">
    <fb>131.52000000000001</fb>
    <v>6</v>
  </rv>
  <rv s="3">
    <fb>133.72999999999999</fb>
    <v>6</v>
  </rv>
  <rv s="3">
    <fb>135.36000000000001</fb>
    <v>6</v>
  </rv>
  <rv s="3">
    <fb>139.81</fb>
    <v>6</v>
  </rv>
  <rv s="3">
    <fb>140.79</fb>
    <v>6</v>
  </rv>
  <rv s="3">
    <fb>141.66</fb>
    <v>6</v>
  </rv>
  <rv s="3">
    <fb>137.77000000000001</fb>
    <v>6</v>
  </rv>
  <rv s="3">
    <fb>137.79</fb>
    <v>6</v>
  </rv>
  <rv s="3">
    <fb>139.16</fb>
    <v>6</v>
  </rv>
  <rv s="3">
    <fb>140.71</fb>
    <v>6</v>
  </rv>
  <rv s="3">
    <fb>138.79</fb>
    <v>6</v>
  </rv>
  <rv s="0">
    <v>https://www.bing.com/financeapi/forcetrigger?t=a1vbk2&amp;q=ARCX%3aIEMG&amp;form=skydnc</v>
    <v>Learn more on Bing</v>
  </rv>
  <rv s="1">
    <v>de-DE</v>
    <v>a1vbk2</v>
    <v>268435456</v>
    <v>1</v>
    <v>Unterstützt von Refinitiv</v>
    <v>0</v>
    <v>1</v>
    <v>iShares:Core MSCI EmMkts (ARCX:IEMG)</v>
    <v>3</v>
    <v>4</v>
    <v>Finance</v>
    <v>5</v>
    <v>59</v>
    <v>45.57</v>
    <v>-0.19</v>
    <v>-3.2859999999999999E-3</v>
    <v>0.98180000000000001</v>
    <v>85055236823.029999</v>
    <v>NYSE Arca</v>
    <v>ARCX</v>
    <v>57.92</v>
    <v>ETF</v>
    <v>8.9999999999999998E-4</v>
    <v>1283</v>
    <v>45579.95143028906</v>
    <v>iShares:Core MSCI EmMkts</v>
    <v>57.3</v>
    <v>57.59</v>
    <v>57.63</v>
    <v>57.82</v>
    <v>IEMG</v>
    <v>iShares:Core MSCI EmMkts (ARCX:IEMG)</v>
    <v>257</v>
    <v>11516613</v>
    <v>USD</v>
  </rv>
  <rv s="2">
    <v>1284</v>
  </rv>
  <rv s="3">
    <fb>52.53</fb>
    <v>6</v>
  </rv>
  <rv s="3">
    <fb>52.99</fb>
    <v>6</v>
  </rv>
  <rv s="3">
    <fb>52.84</fb>
    <v>6</v>
  </rv>
  <rv s="3">
    <fb>53.18</fb>
    <v>6</v>
  </rv>
  <rv s="3">
    <fb>53.61</fb>
    <v>6</v>
  </rv>
  <rv s="3">
    <fb>53.86</fb>
    <v>6</v>
  </rv>
  <rv s="3">
    <fb>54.11</fb>
    <v>6</v>
  </rv>
  <rv s="3">
    <fb>54.13</fb>
    <v>6</v>
  </rv>
  <rv s="3">
    <fb>53.94</fb>
    <v>6</v>
  </rv>
  <rv s="3">
    <fb>55.04</fb>
    <v>6</v>
  </rv>
  <rv s="3">
    <fb>54.9</fb>
    <v>6</v>
  </rv>
  <rv s="3">
    <fb>55.32</fb>
    <v>6</v>
  </rv>
  <rv s="3">
    <fb>57.09</fb>
    <v>6</v>
  </rv>
  <rv s="3">
    <fb>56.43</fb>
    <v>6</v>
  </rv>
  <rv s="3">
    <fb>58.37</fb>
    <v>6</v>
  </rv>
  <rv s="3">
    <fb>58.22</fb>
    <v>6</v>
  </rv>
  <rv s="3">
    <fb>57.41</fb>
    <v>6</v>
  </rv>
  <rv s="3">
    <fb>57.76</fb>
    <v>6</v>
  </rv>
  <rv s="3">
    <fb>58.76</fb>
    <v>6</v>
  </rv>
  <rv s="3">
    <fb>58.01</fb>
    <v>6</v>
  </rv>
  <rv s="3">
    <fb>58.91</fb>
    <v>6</v>
  </rv>
  <rv s="3">
    <fb>57.6</fb>
    <v>6</v>
  </rv>
  <rv s="3">
    <fb>57.29</fb>
    <v>6</v>
  </rv>
  <rv s="3">
    <fb>57.42</fb>
    <v>6</v>
  </rv>
  <rv s="3">
    <fb>57.82</fb>
    <v>6</v>
  </rv>
  <rv s="3">
    <fb>57.63</fb>
    <v>6</v>
  </rv>
  <rv s="0">
    <v>https://www.bing.com/financeapi/forcetrigger?t=a1z5r7&amp;q=ARCX%3aOIH&amp;form=skydnc</v>
    <v>Learn more on Bing</v>
  </rv>
  <rv s="1">
    <v>de-DE</v>
    <v>a1z5r7</v>
    <v>268435456</v>
    <v>1</v>
    <v>Unterstützt von Refinitiv</v>
    <v>0</v>
    <v>1</v>
    <v>VanEck:Oil Services (ARCX:OIH)</v>
    <v>3</v>
    <v>4</v>
    <v>Finance</v>
    <v>7</v>
    <v>354.44</v>
    <v>262.18</v>
    <v>-2.4900000000000002</v>
    <v>-8.3669999999999994E-3</v>
    <v>1.4823</v>
    <v>1603582493.49</v>
    <v>NYSE Arca</v>
    <v>ARCX</v>
    <v>295.67500000000001</v>
    <v>ETF</v>
    <v>3.4999999999999996E-3</v>
    <v>1312</v>
    <v>45580.000000022657</v>
    <v>VanEck:Oil Services</v>
    <v>292.8</v>
    <v>294.44</v>
    <v>295.12</v>
    <v>297.61</v>
    <v>OIH</v>
    <v>VanEck:Oil Services (ARCX:OIH)</v>
    <v>643</v>
    <v>706045</v>
    <v>USD</v>
  </rv>
  <rv s="2">
    <v>1313</v>
  </rv>
  <rv s="3">
    <fb>274.44</fb>
    <v>6</v>
  </rv>
  <rv s="3">
    <fb>274.49</fb>
    <v>6</v>
  </rv>
  <rv s="3">
    <fb>268.63</fb>
    <v>6</v>
  </rv>
  <rv s="3">
    <fb>268.61</fb>
    <v>6</v>
  </rv>
  <rv s="3">
    <fb>270.82</fb>
    <v>6</v>
  </rv>
  <rv s="3">
    <fb>271.23</fb>
    <v>6</v>
  </rv>
  <rv s="3">
    <fb>277.12</fb>
    <v>6</v>
  </rv>
  <rv s="3">
    <fb>285.70999999999998</fb>
    <v>6</v>
  </rv>
  <rv s="3">
    <fb>283.70999999999998</fb>
    <v>6</v>
  </rv>
  <rv s="3">
    <fb>290.92</fb>
    <v>6</v>
  </rv>
  <rv s="3">
    <fb>290.89</fb>
    <v>6</v>
  </rv>
  <rv s="3">
    <fb>293.31</fb>
    <v>6</v>
  </rv>
  <rv s="3">
    <fb>293.91000000000003</fb>
    <v>6</v>
  </rv>
  <rv s="3">
    <fb>284.81</fb>
    <v>6</v>
  </rv>
  <rv s="3">
    <fb>275.92</fb>
    <v>6</v>
  </rv>
  <rv s="3">
    <fb>282.98</fb>
    <v>6</v>
  </rv>
  <rv s="3">
    <fb>290.60000000000002</fb>
    <v>6</v>
  </rv>
  <rv s="3">
    <fb>292.05</fb>
    <v>6</v>
  </rv>
  <rv s="3">
    <fb>298.45999999999998</fb>
    <v>6</v>
  </rv>
  <rv s="3">
    <fb>301.89999999999998</fb>
    <v>6</v>
  </rv>
  <rv s="3">
    <fb>293.61</fb>
    <v>6</v>
  </rv>
  <rv s="3">
    <fb>292.57</fb>
    <v>6</v>
  </rv>
  <rv s="3">
    <fb>295</fb>
    <v>6</v>
  </rv>
  <rv s="3">
    <fb>297.61</fb>
    <v>6</v>
  </rv>
  <rv s="3">
    <fb>295.12</fb>
    <v>6</v>
  </rv>
  <rv s="0">
    <v>https://www.bing.com/financeapi/forcetrigger?t=a1rour&amp;q=ARCX%3aEEM&amp;form=skydnc</v>
    <v>Learn more on Bing</v>
  </rv>
  <rv s="1">
    <v>de-DE</v>
    <v>a1rour</v>
    <v>268435456</v>
    <v>1</v>
    <v>Unterstützt von Refinitiv</v>
    <v>0</v>
    <v>1</v>
    <v>iShares:MSCI Em Mkts (ARCX:EEM)</v>
    <v>3</v>
    <v>4</v>
    <v>Finance</v>
    <v>5</v>
    <v>47.44</v>
    <v>36.375</v>
    <v>-0.19</v>
    <v>-4.0980000000000001E-3</v>
    <v>1.0130999999999999</v>
    <v>18699891145.73</v>
    <v>NYSE Arca</v>
    <v>ARCX</v>
    <v>46.43</v>
    <v>ETF</v>
    <v>6.9999999999999993E-3</v>
    <v>1340</v>
    <v>45580.000000022657</v>
    <v>iShares:MSCI Em Mkts</v>
    <v>45.89</v>
    <v>46.01</v>
    <v>46.17</v>
    <v>46.36</v>
    <v>EEM</v>
    <v>iShares:MSCI Em Mkts (ARCX:EEM)</v>
    <v>954762</v>
    <v>35632165</v>
    <v>USD</v>
  </rv>
  <rv s="2">
    <v>1341</v>
  </rv>
  <rv s="3">
    <fb>41.78</fb>
    <v>6</v>
  </rv>
  <rv s="3">
    <fb>42.13</fb>
    <v>6</v>
  </rv>
  <rv s="3">
    <fb>41.97</fb>
    <v>6</v>
  </rv>
  <rv s="3">
    <fb>42.28</fb>
    <v>6</v>
  </rv>
  <rv s="3">
    <fb>42.63</fb>
    <v>6</v>
  </rv>
  <rv s="3">
    <fb>42.83</fb>
    <v>6</v>
  </rv>
  <rv s="3">
    <fb>42.97</fb>
    <v>6</v>
  </rv>
  <rv s="3">
    <fb>43.02</fb>
    <v>6</v>
  </rv>
  <rv s="3">
    <fb>42.87</fb>
    <v>6</v>
  </rv>
  <rv s="3">
    <fb>43.78</fb>
    <v>6</v>
  </rv>
  <rv s="3">
    <fb>43.69</fb>
    <v>6</v>
  </rv>
  <rv s="3">
    <fb>44.03</fb>
    <v>6</v>
  </rv>
  <rv s="3">
    <fb>45.53</fb>
    <v>6</v>
  </rv>
  <rv s="3">
    <fb>45.05</fb>
    <v>6</v>
  </rv>
  <rv s="3">
    <fb>46.7</fb>
    <v>6</v>
  </rv>
  <rv s="3">
    <fb>46.61</fb>
    <v>6</v>
  </rv>
  <rv s="3">
    <fb>45.86</fb>
    <v>6</v>
  </rv>
  <rv s="3">
    <fb>47.1</fb>
    <v>6</v>
  </rv>
  <rv s="3">
    <fb>46.54</fb>
    <v>6</v>
  </rv>
  <rv s="3">
    <fb>46.97</fb>
    <v>6</v>
  </rv>
  <rv s="3">
    <fb>47.36</fb>
    <v>6</v>
  </rv>
  <rv s="3">
    <fb>45.94</fb>
    <v>6</v>
  </rv>
  <rv s="3">
    <fb>46.36</fb>
    <v>6</v>
  </rv>
  <rv s="3">
    <fb>46.17</fb>
    <v>6</v>
  </rv>
  <rv s="0">
    <v>https://www.bing.com/financeapi/forcetrigger?t=a25nhw&amp;q=ARCX%3aVWO&amp;form=skydnc</v>
    <v>Learn more on Bing</v>
  </rv>
  <rv s="1">
    <v>de-DE</v>
    <v>a25nhw</v>
    <v>268435456</v>
    <v>1</v>
    <v>Unterstützt von Refinitiv</v>
    <v>0</v>
    <v>1</v>
    <v>Vanguard EM St I;ETF (ARCX:VWO)</v>
    <v>3</v>
    <v>4</v>
    <v>Finance</v>
    <v>7</v>
    <v>49.57</v>
    <v>37.454999999999998</v>
    <v>-0.23</v>
    <v>-4.777E-3</v>
    <v>0.91</v>
    <v>84338161356.479996</v>
    <v>NYSE Arca</v>
    <v>ARCX</v>
    <v>48.234999999999999</v>
    <v>ETF</v>
    <v>8.0000000000000004E-4</v>
    <v>1367</v>
    <v>45579.999115856248</v>
    <v>Vanguard EM St I;ETF</v>
    <v>47.695</v>
    <v>47.8</v>
    <v>47.92</v>
    <v>48.15</v>
    <v>VWO</v>
    <v>Vanguard EM St I;ETF (ARCX:VWO)</v>
    <v>1587</v>
    <v>9707381</v>
    <v>USD</v>
  </rv>
  <rv s="2">
    <v>1368</v>
  </rv>
  <rv s="3">
    <fb>43.5</fb>
    <v>6</v>
  </rv>
  <rv s="3">
    <fb>43.8</fb>
    <v>6</v>
  </rv>
  <rv s="3">
    <fb>43.7</fb>
    <v>6</v>
  </rv>
  <rv s="3">
    <fb>43.97</fb>
    <v>6</v>
  </rv>
  <rv s="3">
    <fb>44.26</fb>
    <v>6</v>
  </rv>
  <rv s="3">
    <fb>44.46</fb>
    <v>6</v>
  </rv>
  <rv s="3">
    <fb>44.68</fb>
    <v>6</v>
  </rv>
  <rv s="3">
    <fb>44.52</fb>
    <v>6</v>
  </rv>
  <rv s="3">
    <fb>45.45</fb>
    <v>6</v>
  </rv>
  <rv s="3">
    <fb>45.29</fb>
    <v>6</v>
  </rv>
  <rv s="3">
    <fb>45.66</fb>
    <v>6</v>
  </rv>
  <rv s="3">
    <fb>47.25</fb>
    <v>6</v>
  </rv>
  <rv s="3">
    <fb>46.77</fb>
    <v>6</v>
  </rv>
  <rv s="3">
    <fb>47.85</fb>
    <v>6</v>
  </rv>
  <rv s="3">
    <fb>48.21</fb>
    <v>6</v>
  </rv>
  <rv s="3">
    <fb>49.21</fb>
    <v>6</v>
  </rv>
  <rv s="3">
    <fb>48.47</fb>
    <v>6</v>
  </rv>
  <rv s="3">
    <fb>49.06</fb>
    <v>6</v>
  </rv>
  <rv s="3">
    <fb>49.49</fb>
    <v>6</v>
  </rv>
  <rv s="3">
    <fb>48.04</fb>
    <v>6</v>
  </rv>
  <rv s="3">
    <fb>47.71</fb>
    <v>6</v>
  </rv>
  <rv s="3">
    <fb>47.81</fb>
    <v>6</v>
  </rv>
  <rv s="3">
    <fb>48.15</fb>
    <v>6</v>
  </rv>
  <rv s="0">
    <v>https://www.bing.com/financeapi/forcetrigger?t=a23cu2&amp;q=ARCX%3aSPEM&amp;form=skydnc</v>
    <v>Learn more on Bing</v>
  </rv>
  <rv s="1">
    <v>de-DE</v>
    <v>a23cu2</v>
    <v>268435456</v>
    <v>1</v>
    <v>Unterstützt von Refinitiv</v>
    <v>0</v>
    <v>1</v>
    <v>SPDR Ptf Em Markets (ARCX:SPEM)</v>
    <v>3</v>
    <v>4</v>
    <v>Finance</v>
    <v>7</v>
    <v>42.88</v>
    <v>32.055</v>
    <v>-0.13</v>
    <v>-3.13E-3</v>
    <v>0.88919999999999999</v>
    <v>10129111488.309999</v>
    <v>NYSE Arca</v>
    <v>ARCX</v>
    <v>41.645000000000003</v>
    <v>ETF</v>
    <v>7.000000000000001E-4</v>
    <v>1393</v>
    <v>45579.840277777781</v>
    <v>SPDR Ptf Em Markets</v>
    <v>41.21</v>
    <v>41.27</v>
    <v>41.41</v>
    <v>41.54</v>
    <v>SPEM</v>
    <v>SPDR Ptf Em Markets (ARCX:SPEM)</v>
    <v>30778</v>
    <v>1913082</v>
    <v>USD</v>
  </rv>
  <rv s="2">
    <v>1394</v>
  </rv>
  <rv s="3">
    <fb>37.72</fb>
    <v>6</v>
  </rv>
  <rv s="3">
    <fb>37.89</fb>
    <v>6</v>
  </rv>
  <rv s="3">
    <fb>38.15</fb>
    <v>6</v>
  </rv>
  <rv s="3">
    <fb>38.31</fb>
    <v>6</v>
  </rv>
  <rv s="3">
    <fb>38.450000000000003</fb>
    <v>6</v>
  </rv>
  <rv s="3">
    <fb>38.5</fb>
    <v>6</v>
  </rv>
  <rv s="3">
    <fb>38.4</fb>
    <v>6</v>
  </rv>
  <rv s="3">
    <fb>39.200000000000003</fb>
    <v>6</v>
  </rv>
  <rv s="3">
    <fb>39.14</fb>
    <v>6</v>
  </rv>
  <rv s="3">
    <fb>39.44</fb>
    <v>6</v>
  </rv>
  <rv s="3">
    <fb>40.799999999999997</fb>
    <v>6</v>
  </rv>
  <rv s="3">
    <fb>40.380000000000003</fb>
    <v>6</v>
  </rv>
  <rv s="3">
    <fb>41.68</fb>
    <v>6</v>
  </rv>
  <rv s="3">
    <fb>41.66</fb>
    <v>6</v>
  </rv>
  <rv s="3">
    <fb>41.28</fb>
    <v>6</v>
  </rv>
  <rv s="3">
    <fb>41.67</fb>
    <v>6</v>
  </rv>
  <rv s="3">
    <fb>42.42</fb>
    <v>6</v>
  </rv>
  <rv s="3">
    <fb>41.9</fb>
    <v>6</v>
  </rv>
  <rv s="3">
    <fb>42.34</fb>
    <v>6</v>
  </rv>
  <rv s="3">
    <fb>42.82</fb>
    <v>6</v>
  </rv>
  <rv s="3">
    <fb>41.54</fb>
    <v>6</v>
  </rv>
  <rv s="3">
    <fb>41.25</fb>
    <v>6</v>
  </rv>
  <rv s="0">
    <v>https://www.bing.com/financeapi/forcetrigger?t=a253hw&amp;q=ARCX%3aUSO&amp;form=skydnc</v>
    <v>Learn more on Bing</v>
  </rv>
  <rv s="1">
    <v>de-DE</v>
    <v>a253hw</v>
    <v>268435456</v>
    <v>1</v>
    <v>Unterstützt von Refinitiv</v>
    <v>0</v>
    <v>1</v>
    <v>United States Oil Fund (ARCX:USO)</v>
    <v>3</v>
    <v>4</v>
    <v>Finance</v>
    <v>5</v>
    <v>83.41</v>
    <v>63.84</v>
    <v>-1.56</v>
    <v>-2.0131999999999997E-2</v>
    <v>0.93489999999999995</v>
    <v>1343057520.23</v>
    <v>NYSE Arca</v>
    <v>ARCX</v>
    <v>76.650000000000006</v>
    <v>ETF</v>
    <v>6.9999999999999993E-3</v>
    <v>1418</v>
    <v>45579.999876735936</v>
    <v>United States Oil Fund</v>
    <v>75.48</v>
    <v>76.06</v>
    <v>75.930000000000007</v>
    <v>77.489999999999995</v>
    <v>USO</v>
    <v>United States Oil Fund (ARCX:USO)</v>
    <v>556529</v>
    <v>4308237</v>
    <v>USD</v>
  </rv>
  <rv s="2">
    <v>1419</v>
  </rv>
  <rv s="3">
    <fb>69.27</fb>
    <v>6</v>
  </rv>
  <rv s="3">
    <fb>66.959999999999994</fb>
    <v>6</v>
  </rv>
  <rv s="3">
    <fb>67.849999999999994</fb>
    <v>6</v>
  </rv>
  <rv s="3">
    <fb>69.89</fb>
    <v>6</v>
  </rv>
  <rv s="3">
    <fb>69.84</fb>
    <v>6</v>
  </rv>
  <rv s="3">
    <fb>70.88</fb>
    <v>6</v>
  </rv>
  <rv s="3">
    <fb>71.72</fb>
    <v>6</v>
  </rv>
  <rv s="3">
    <fb>70.66</fb>
    <v>6</v>
  </rv>
  <rv s="3">
    <fb>72.75</fb>
    <v>6</v>
  </rv>
  <rv s="3">
    <fb>72.92</fb>
    <v>6</v>
  </rv>
  <rv s="3">
    <fb>72.25</fb>
    <v>6</v>
  </rv>
  <rv s="3">
    <fb>73.290000000000006</fb>
    <v>6</v>
  </rv>
  <rv s="3">
    <fb>71.48</fb>
    <v>6</v>
  </rv>
  <rv s="3">
    <fb>69.010000000000005</fb>
    <v>6</v>
  </rv>
  <rv s="3">
    <fb>70.27</fb>
    <v>6</v>
  </rv>
  <rv s="3">
    <fb>72.11</fb>
    <v>6</v>
  </rv>
  <rv s="3">
    <fb>72.760000000000005</fb>
    <v>6</v>
  </rv>
  <rv s="3">
    <fb>75.73</fb>
    <v>6</v>
  </rv>
  <rv s="3">
    <fb>76.349999999999994</fb>
    <v>6</v>
  </rv>
  <rv s="3">
    <fb>79.2</fb>
    <v>6</v>
  </rv>
  <rv s="3">
    <fb>75.790000000000006</fb>
    <v>6</v>
  </rv>
  <rv s="3">
    <fb>75.25</fb>
    <v>6</v>
  </rv>
  <rv s="3">
    <fb>77.77</fb>
    <v>6</v>
  </rv>
  <rv s="3">
    <fb>77.489999999999995</fb>
    <v>6</v>
  </rv>
  <rv s="3">
    <fb>75.930000000000007</fb>
    <v>6</v>
  </rv>
  <rv s="4">
    <v>de-DE</v>
    <v>ca4hh7</v>
    <v>268435456</v>
    <v>1</v>
    <v>Unterstützt von Refinitiv</v>
    <v>8</v>
    <v>9</v>
    <v>iShares:Lit Min and Prod (XNAS:ILIT)</v>
    <v>10</v>
    <v>11</v>
    <v>Finance</v>
    <v>7</v>
    <v>17.850000000000001</v>
    <v>8.5787999999999993</v>
    <v>-0.26</v>
    <v>-2.1886000000000003E-2</v>
    <v>4550895.42</v>
    <v>Nasdaq Stock Market</v>
    <v>XNAS</v>
    <v>11.72</v>
    <v>ETF</v>
    <v>4.6999999999999993E-3</v>
    <v>45579.843750185159</v>
    <v>iShares:Lit Min and Prod</v>
    <v>11.6</v>
    <v>11.72</v>
    <v>11.62</v>
    <v>11.88</v>
    <v>ILIT</v>
    <v>iShares:Lit Min and Prod (XNAS:ILIT)</v>
    <v>1</v>
    <v>8961</v>
    <v>USD</v>
  </rv>
  <rv s="2">
    <v>1446</v>
  </rv>
  <rv s="3">
    <fb>8.74</fb>
    <v>6</v>
  </rv>
  <rv s="3">
    <fb>8.66</fb>
    <v>6</v>
  </rv>
  <rv s="3">
    <fb>9.6</fb>
    <v>6</v>
  </rv>
  <rv s="3">
    <fb>9.39</fb>
    <v>6</v>
  </rv>
  <rv s="3">
    <fb>9.4718999999999998</fb>
    <v>6</v>
  </rv>
  <rv s="3">
    <fb>9.49</fb>
    <v>6</v>
  </rv>
  <rv s="3">
    <fb>9.3800000000000008</fb>
    <v>6</v>
  </rv>
  <rv s="3">
    <fb>9.57</fb>
    <v>6</v>
  </rv>
  <rv s="3">
    <fb>9.2899999999999991</fb>
    <v>6</v>
  </rv>
  <rv s="3">
    <fb>9.43</fb>
    <v>6</v>
  </rv>
  <rv s="3">
    <fb>10.18</fb>
    <v>6</v>
  </rv>
  <rv s="3">
    <fb>9.9700000000000006</fb>
    <v>6</v>
  </rv>
  <rv s="3">
    <fb>10.69</fb>
    <v>6</v>
  </rv>
  <rv s="3">
    <fb>11.18</fb>
    <v>6</v>
  </rv>
  <rv s="3">
    <fb>11.39</fb>
    <v>6</v>
  </rv>
  <rv s="3">
    <fb>11.49</fb>
    <v>6</v>
  </rv>
  <rv s="3">
    <fb>11.82</fb>
    <v>6</v>
  </rv>
  <rv s="3">
    <fb>11.755000000000001</fb>
    <v>6</v>
  </rv>
  <rv s="3">
    <fb>12.63</fb>
    <v>6</v>
  </rv>
  <rv s="3">
    <fb>12.115</fb>
    <v>6</v>
  </rv>
  <rv s="3">
    <fb>11.98</fb>
    <v>6</v>
  </rv>
  <rv s="3">
    <fb>11.96</fb>
    <v>6</v>
  </rv>
  <rv s="3">
    <fb>11.88</fb>
    <v>6</v>
  </rv>
  <rv s="3">
    <fb>11.62</fb>
    <v>6</v>
  </rv>
  <rv s="0">
    <v>https://www.bing.com/financeapi/forcetrigger?t=a1wxdm&amp;q=ARCX%3aLIT&amp;form=skydnc</v>
    <v>Learn more on Bing</v>
  </rv>
  <rv s="1">
    <v>de-DE</v>
    <v>a1wxdm</v>
    <v>268435456</v>
    <v>1</v>
    <v>Unterstützt von Refinitiv</v>
    <v>0</v>
    <v>1</v>
    <v>Glbl X Lith &amp; Bat Tech (ARCX:LIT)</v>
    <v>3</v>
    <v>4</v>
    <v>Finance</v>
    <v>5</v>
    <v>53.74</v>
    <v>34.65</v>
    <v>-0.87</v>
    <v>-1.9376000000000001E-2</v>
    <v>0.61280000000000001</v>
    <v>1338877900</v>
    <v>NYSE Arca</v>
    <v>ARCX</v>
    <v>44.7</v>
    <v>ETF</v>
    <v>7.4999999999999997E-3</v>
    <v>1472</v>
    <v>45579.994933460155</v>
    <v>Glbl X Lith &amp; Bat Tech</v>
    <v>43.647799999999997</v>
    <v>44.13</v>
    <v>44.03</v>
    <v>44.9</v>
    <v>LIT</v>
    <v>Glbl X Lith &amp; Bat Tech (ARCX:LIT)</v>
    <v>3920</v>
    <v>428654</v>
    <v>USD</v>
  </rv>
  <rv s="2">
    <v>1473</v>
  </rv>
  <rv s="3">
    <fb>35.369999999999997</fb>
    <v>6</v>
  </rv>
  <rv s="3">
    <fb>37.71</fb>
    <v>6</v>
  </rv>
  <rv s="3">
    <fb>37.68</fb>
    <v>6</v>
  </rv>
  <rv s="3">
    <fb>37.14</fb>
    <v>6</v>
  </rv>
  <rv s="3">
    <fb>37.28</fb>
    <v>6</v>
  </rv>
  <rv s="3">
    <fb>37.25</fb>
    <v>6</v>
  </rv>
  <rv s="3">
    <fb>36.81</fb>
    <v>6</v>
  </rv>
  <rv s="3">
    <fb>37.630000000000003</fb>
    <v>6</v>
  </rv>
  <rv s="3">
    <fb>36.770000000000003</fb>
    <v>6</v>
  </rv>
  <rv s="3">
    <fb>37.26</fb>
    <v>6</v>
  </rv>
  <rv s="3">
    <fb>39.47</fb>
    <v>6</v>
  </rv>
  <rv s="3">
    <fb>38.94</fb>
    <v>6</v>
  </rv>
  <rv s="3">
    <fb>41.11</fb>
    <v>6</v>
  </rv>
  <rv s="3">
    <fb>42.51</fb>
    <v>6</v>
  </rv>
  <rv s="3">
    <fb>43.59</fb>
    <v>6</v>
  </rv>
  <rv s="3">
    <fb>44.11</fb>
    <v>6</v>
  </rv>
  <rv s="3">
    <fb>45.4</fb>
    <v>6</v>
  </rv>
  <rv s="3">
    <fb>44.49</fb>
    <v>6</v>
  </rv>
  <rv s="3">
    <fb>46.07</fb>
    <v>6</v>
  </rv>
  <rv s="3">
    <fb>48.97</fb>
    <v>6</v>
  </rv>
  <rv s="3">
    <fb>46.91</fb>
    <v>6</v>
  </rv>
  <rv s="3">
    <fb>45.73</fb>
    <v>6</v>
  </rv>
  <rv s="3">
    <fb>45.74</fb>
    <v>6</v>
  </rv>
  <rv s="3">
    <fb>44.9</fb>
    <v>6</v>
  </rv>
  <rv s="0">
    <v>https://www.bing.com/financeapi/forcetrigger?t=a1tkf2&amp;q=ARCX%3aFXI&amp;form=skydnc</v>
    <v>Learn more on Bing</v>
  </rv>
  <rv s="1">
    <v>de-DE</v>
    <v>a1tkf2</v>
    <v>268435456</v>
    <v>1</v>
    <v>Unterstützt von Refinitiv</v>
    <v>0</v>
    <v>1</v>
    <v>iShares:China Large Cp (ARCX:FXI)</v>
    <v>3</v>
    <v>4</v>
    <v>Finance</v>
    <v>5</v>
    <v>37.5</v>
    <v>20.86</v>
    <v>-0.63</v>
    <v>-1.8879E-2</v>
    <v>1.2464</v>
    <v>4861308169.3100004</v>
    <v>NYSE Arca</v>
    <v>ARCX</v>
    <v>33.619999999999997</v>
    <v>ETF</v>
    <v>7.4000000000000003E-3</v>
    <v>1499</v>
    <v>45579.999888298436</v>
    <v>iShares:China Large Cp</v>
    <v>32.61</v>
    <v>32.9</v>
    <v>32.74</v>
    <v>33.369999999999997</v>
    <v>FXI</v>
    <v>iShares:China Large Cp (ARCX:FXI)</v>
    <v>5361899</v>
    <v>94438113</v>
    <v>USD</v>
  </rv>
  <rv s="2">
    <v>1500</v>
  </rv>
  <rv s="3">
    <fb>25.5</fb>
    <v>6</v>
  </rv>
  <rv s="3">
    <fb>25.52</fb>
    <v>6</v>
  </rv>
  <rv s="3">
    <fb>25.46</fb>
    <v>6</v>
  </rv>
  <rv s="3">
    <fb>25.72</fb>
    <v>6</v>
  </rv>
  <rv s="3">
    <fb>25.71</fb>
    <v>6</v>
  </rv>
  <rv s="3">
    <fb>25.86</fb>
    <v>6</v>
  </rv>
  <rv s="3">
    <fb>26.01</fb>
    <v>6</v>
  </rv>
  <rv s="3">
    <fb>26.34</fb>
    <v>6</v>
  </rv>
  <rv s="3">
    <fb>26.19</fb>
    <v>6</v>
  </rv>
  <rv s="3">
    <fb>27.13</fb>
    <v>6</v>
  </rv>
  <rv s="3">
    <fb>27.15</fb>
    <v>6</v>
  </rv>
  <rv s="3">
    <fb>27.68</fb>
    <v>6</v>
  </rv>
  <rv s="3">
    <fb>30.4</fb>
    <v>6</v>
  </rv>
  <rv s="3">
    <fb>29.56</fb>
    <v>6</v>
  </rv>
  <rv s="3">
    <fb>31.92</fb>
    <v>6</v>
  </rv>
  <rv s="3">
    <fb>32.17</fb>
    <v>6</v>
  </rv>
  <rv s="3">
    <fb>31.78</fb>
    <v>6</v>
  </rv>
  <rv s="3">
    <fb>33.1</fb>
    <v>6</v>
  </rv>
  <rv s="3">
    <fb>35.479999999999997</fb>
    <v>6</v>
  </rv>
  <rv s="3">
    <fb>34.5</fb>
    <v>6</v>
  </rv>
  <rv s="3">
    <fb>35.71</fb>
    <v>6</v>
  </rv>
  <rv s="3">
    <fb>36.69</fb>
    <v>6</v>
  </rv>
  <rv s="3">
    <fb>33.33</fb>
    <v>6</v>
  </rv>
  <rv s="3">
    <fb>32.79</fb>
    <v>6</v>
  </rv>
  <rv s="3">
    <fb>33.22</fb>
    <v>6</v>
  </rv>
  <rv s="3">
    <fb>33.369999999999997</fb>
    <v>6</v>
  </rv>
  <rv s="3">
    <fb>32.74</fb>
    <v>6</v>
  </rv>
  <rv s="0">
    <v>https://www.bing.com/financeapi/forcetrigger?t=aw2enm&amp;q=ARCX%3aKWEB&amp;form=skydnc</v>
    <v>Learn more on Bing</v>
  </rv>
  <rv s="1">
    <v>de-DE</v>
    <v>aw2enm</v>
    <v>268435456</v>
    <v>1</v>
    <v>Unterstützt von Refinitiv</v>
    <v>0</v>
    <v>1</v>
    <v>KraneShs:CSI China Intrt (ARCX:KWEB)</v>
    <v>3</v>
    <v>4</v>
    <v>Finance</v>
    <v>5</v>
    <v>39.17</v>
    <v>22.68</v>
    <v>-0.96</v>
    <v>-2.7421000000000001E-2</v>
    <v>1.33</v>
    <v>6522428336.4399996</v>
    <v>NYSE Arca</v>
    <v>ARCX</v>
    <v>34.979999999999997</v>
    <v>ETF</v>
    <v>6.9999999999999993E-3</v>
    <v>1529</v>
    <v>45580.000000867971</v>
    <v>KraneShs:CSI China Intrt</v>
    <v>33.92</v>
    <v>34.11</v>
    <v>34.049999999999997</v>
    <v>35.01</v>
    <v>KWEB</v>
    <v>KraneShs:CSI China Intrt (ARCX:KWEB)</v>
    <v>2320975</v>
    <v>38716376</v>
    <v>USD</v>
  </rv>
  <rv s="2">
    <v>1530</v>
  </rv>
  <rv s="3">
    <fb>25.28</fb>
    <v>6</v>
  </rv>
  <rv s="3">
    <fb>25.37</fb>
    <v>6</v>
  </rv>
  <rv s="3">
    <fb>25.25</fb>
    <v>6</v>
  </rv>
  <rv s="3">
    <fb>25.54</fb>
    <v>6</v>
  </rv>
  <rv s="3">
    <fb>25.53</fb>
    <v>6</v>
  </rv>
  <rv s="3">
    <fb>25.42</fb>
    <v>6</v>
  </rv>
  <rv s="3">
    <fb>25.55</fb>
    <v>6</v>
  </rv>
  <rv s="3">
    <fb>25.88</fb>
    <v>6</v>
  </rv>
  <rv s="3">
    <fb>25.73</fb>
    <v>6</v>
  </rv>
  <rv s="3">
    <fb>26.88</fb>
    <v>6</v>
  </rv>
  <rv s="3">
    <fb>26.76</fb>
    <v>6</v>
  </rv>
  <rv s="3">
    <fb>27.23</fb>
    <v>6</v>
  </rv>
  <rv s="3">
    <fb>30.04</fb>
    <v>6</v>
  </rv>
  <rv s="3">
    <fb>29.27</fb>
    <v>6</v>
  </rv>
  <rv s="3">
    <fb>32.65</fb>
    <v>6</v>
  </rv>
  <rv s="3">
    <fb>33.93</fb>
    <v>6</v>
  </rv>
  <rv s="3">
    <fb>34.020000000000003</fb>
    <v>6</v>
  </rv>
  <rv s="3">
    <fb>38.380000000000003</fb>
    <v>6</v>
  </rv>
  <rv s="3">
    <fb>38.409999999999997</fb>
    <v>6</v>
  </rv>
  <rv s="3">
    <fb>38.869999999999997</fb>
    <v>6</v>
  </rv>
  <rv s="3">
    <fb>34.61</fb>
    <v>6</v>
  </rv>
  <rv s="3">
    <fb>34.69</fb>
    <v>6</v>
  </rv>
  <rv s="3">
    <fb>34.049999999999997</fb>
    <v>6</v>
  </rv>
  <rv s="0">
    <v>https://www.bing.com/financeapi/forcetrigger?t=a1xdsm&amp;q=XNAS%3aMCHI&amp;form=skydnc</v>
    <v>Learn more on Bing</v>
  </rv>
  <rv s="1">
    <v>de-DE</v>
    <v>a1xdsm</v>
    <v>268435456</v>
    <v>1</v>
    <v>Unterstützt von Refinitiv</v>
    <v>0</v>
    <v>1</v>
    <v>iShares:MSCI China (XNAS:MCHI)</v>
    <v>3</v>
    <v>4</v>
    <v>Finance</v>
    <v>5</v>
    <v>59.784999999999997</v>
    <v>35.58</v>
    <v>-1.06</v>
    <v>-2.0137000000000002E-2</v>
    <v>1.2145999999999999</v>
    <v>5340214692.8000002</v>
    <v>Nasdaq Stock Market</v>
    <v>XNAS</v>
    <v>52.8</v>
    <v>ETF</v>
    <v>5.8999999999999999E-3</v>
    <v>1555</v>
    <v>45579.993791863279</v>
    <v>iShares:MSCI China</v>
    <v>51.37</v>
    <v>51.83</v>
    <v>51.58</v>
    <v>52.64</v>
    <v>MCHI</v>
    <v>iShares:MSCI China (XNAS:MCHI)</v>
    <v>55449</v>
    <v>7785459</v>
    <v>USD</v>
  </rv>
  <rv s="2">
    <v>1556</v>
  </rv>
  <rv s="3">
    <fb>40.71</fb>
    <v>6</v>
  </rv>
  <rv s="3">
    <fb>40.619999999999997</fb>
    <v>6</v>
  </rv>
  <rv s="3">
    <fb>40.43</fb>
    <v>6</v>
  </rv>
  <rv s="3">
    <fb>40.78</fb>
    <v>6</v>
  </rv>
  <rv s="3">
    <fb>40.770000000000003</fb>
    <v>6</v>
  </rv>
  <rv s="3">
    <fb>40.9</fb>
    <v>6</v>
  </rv>
  <rv s="3">
    <fb>41.1</fb>
    <v>6</v>
  </rv>
  <rv s="3">
    <fb>41.47</fb>
    <v>6</v>
  </rv>
  <rv s="3">
    <fb>41.27</fb>
    <v>6</v>
  </rv>
  <rv s="3">
    <fb>42.65</fb>
    <v>6</v>
  </rv>
  <rv s="3">
    <fb>42.66</fb>
    <v>6</v>
  </rv>
  <rv s="3">
    <fb>43.28</fb>
    <v>6</v>
  </rv>
  <rv s="3">
    <fb>47.16</fb>
    <v>6</v>
  </rv>
  <rv s="3">
    <fb>46.08</fb>
    <v>6</v>
  </rv>
  <rv s="3">
    <fb>50.1</fb>
    <v>6</v>
  </rv>
  <rv s="3">
    <fb>50.99</fb>
    <v>6</v>
  </rv>
  <rv s="3">
    <fb>50.91</fb>
    <v>6</v>
  </rv>
  <rv s="3">
    <fb>52.98</fb>
    <v>6</v>
  </rv>
  <rv s="3">
    <fb>56.48</fb>
    <v>6</v>
  </rv>
  <rv s="3">
    <fb>54.99</fb>
    <v>6</v>
  </rv>
  <rv s="3">
    <fb>57</fb>
    <v>6</v>
  </rv>
  <rv s="3">
    <fb>59.67</fb>
    <v>6</v>
  </rv>
  <rv s="3">
    <fb>53.22</fb>
    <v>6</v>
  </rv>
  <rv s="3">
    <fb>51.965000000000003</fb>
    <v>6</v>
  </rv>
  <rv s="3">
    <fb>52.35</fb>
    <v>6</v>
  </rv>
  <rv s="3">
    <fb>52.64</fb>
    <v>6</v>
  </rv>
  <rv s="3">
    <fb>51.58</fb>
    <v>6</v>
  </rv>
  <rv s="7">
    <v>12</v>
    <v>Ticker-Symbol</v>
    <v>0</v>
  </rv>
  <rv s="8">
    <v>22</v>
    <v>FFTY</v>
    <v>Daily</v>
    <v>45565</v>
    <v>45565</v>
    <v>0</v>
    <v>1</v>
    <v>638632512000000000,638645730700178557,0</v>
    <v>0</v>
    <v>a1su4c</v>
    <v>ARCX:FFTY</v>
    <v>1</v>
  </rv>
  <rv s="8">
    <v>22</v>
    <v>FFTY</v>
    <v>Daily</v>
    <v>45576</v>
    <v>45576</v>
    <v>0</v>
    <v>1</v>
    <v>638642016000000000,638645730699800223,0</v>
    <v>0</v>
    <v>a1su4c</v>
    <v>ARCX:FFTY</v>
    <v>2</v>
  </rv>
  <rv s="8">
    <v>22</v>
    <v>FFTY</v>
    <v>Daily</v>
    <v>45541</v>
    <v>45580</v>
    <v>0</v>
    <v>1</v>
    <v>638644608000000000,638645730702996184,0</v>
    <v>3</v>
    <v>a1su4c</v>
    <v>ARCX:FFTY</v>
    <v>4</v>
  </rv>
  <rv s="8">
    <v>22</v>
    <v>FFTY</v>
    <v>Daily</v>
    <v>45579</v>
    <v>45579</v>
    <v>0</v>
    <v>1</v>
    <v>638644608000000000,638645899661405461,0</v>
    <v>0</v>
    <v>a1su4c</v>
    <v>ARCX:FFTY</v>
    <v>5</v>
  </rv>
  <rv s="8">
    <v>22</v>
    <v>VGT</v>
    <v>Daily</v>
    <v>45541</v>
    <v>45580</v>
    <v>0</v>
    <v>1</v>
    <v>638644608000000000,638645902776443916,0</v>
    <v>3</v>
    <v>a25bf2</v>
    <v>ARCX:VGT</v>
    <v>6</v>
  </rv>
  <rv s="8">
    <v>22</v>
    <v>VGT</v>
    <v>Daily</v>
    <v>45565</v>
    <v>45565</v>
    <v>0</v>
    <v>1</v>
    <v>638632512000000000,638645902779122155,0</v>
    <v>0</v>
    <v>a25bf2</v>
    <v>ARCX:VGT</v>
    <v>7</v>
  </rv>
  <rv s="8">
    <v>22</v>
    <v>VGT</v>
    <v>Daily</v>
    <v>45576</v>
    <v>45576</v>
    <v>0</v>
    <v>1</v>
    <v>638642016000000000,638645902780249501,0</v>
    <v>0</v>
    <v>a25bf2</v>
    <v>ARCX:VGT</v>
    <v>8</v>
  </rv>
  <rv s="8">
    <v>22</v>
    <v>VGT</v>
    <v>Daily</v>
    <v>45579</v>
    <v>45579</v>
    <v>0</v>
    <v>1</v>
    <v>638644608000000000,638645902780545910,0</v>
    <v>0</v>
    <v>a25bf2</v>
    <v>ARCX:VGT</v>
    <v>9</v>
  </rv>
  <rv s="8">
    <v>22</v>
    <v>JETS</v>
    <v>Daily</v>
    <v>45565</v>
    <v>45565</v>
    <v>0</v>
    <v>1</v>
    <v>638632512000000000,638644005515547079,0</v>
    <v>0</v>
    <v>a1w3nm</v>
    <v>ARCX:JETS</v>
    <v>10</v>
  </rv>
  <rv s="8">
    <v>22</v>
    <v>JETS</v>
    <v>Daily</v>
    <v>45541</v>
    <v>45580</v>
    <v>0</v>
    <v>1</v>
    <v>638644608000000000,638645730702113427,0</v>
    <v>3</v>
    <v>a1w3nm</v>
    <v>ARCX:JETS</v>
    <v>11</v>
  </rv>
  <rv s="8">
    <v>22</v>
    <v>JETS</v>
    <v>Daily</v>
    <v>45576</v>
    <v>45576</v>
    <v>0</v>
    <v>1</v>
    <v>638642016000000000,638645899661607356,0</v>
    <v>0</v>
    <v>a1w3nm</v>
    <v>ARCX:JETS</v>
    <v>12</v>
  </rv>
  <rv s="8">
    <v>22</v>
    <v>JETS</v>
    <v>Daily</v>
    <v>45579</v>
    <v>45579</v>
    <v>0</v>
    <v>1</v>
    <v>638644608000000000,638645899664733611,0</v>
    <v>0</v>
    <v>a1w3nm</v>
    <v>ARCX:JETS</v>
    <v>13</v>
  </rv>
  <rv s="8">
    <v>22</v>
    <v>VONG</v>
    <v>Daily</v>
    <v>45579</v>
    <v>45579</v>
    <v>0</v>
    <v>1</v>
    <v>638644608000000000,638645902777036466,0</v>
    <v>0</v>
    <v>a25hgh</v>
    <v>XNAS:VONG</v>
    <v>14</v>
  </rv>
  <rv s="8">
    <v>22</v>
    <v>VONG</v>
    <v>Daily</v>
    <v>45576</v>
    <v>45576</v>
    <v>0</v>
    <v>1</v>
    <v>638642016000000000,638645902780341920,0</v>
    <v>0</v>
    <v>a25hgh</v>
    <v>XNAS:VONG</v>
    <v>15</v>
  </rv>
  <rv s="8">
    <v>22</v>
    <v>VONG</v>
    <v>Daily</v>
    <v>45565</v>
    <v>45565</v>
    <v>0</v>
    <v>1</v>
    <v>638632512000000000,638645902780006600,0</v>
    <v>0</v>
    <v>a25hgh</v>
    <v>XNAS:VONG</v>
    <v>16</v>
  </rv>
  <rv s="8">
    <v>22</v>
    <v>VONG</v>
    <v>Daily</v>
    <v>45541</v>
    <v>45580</v>
    <v>0</v>
    <v>1</v>
    <v>638644608000000000,638645902779993528,0</v>
    <v>3</v>
    <v>a25hgh</v>
    <v>XNAS:VONG</v>
    <v>17</v>
  </rv>
  <rv s="8">
    <v>22</v>
    <v>HACK</v>
    <v>Daily</v>
    <v>45565</v>
    <v>45565</v>
    <v>0</v>
    <v>1</v>
    <v>638632512000000000,638645902775902607,0</v>
    <v>0</v>
    <v>a1ueyc</v>
    <v>ARCX:HACK</v>
    <v>18</v>
  </rv>
  <rv s="8">
    <v>22</v>
    <v>HACK</v>
    <v>Daily</v>
    <v>45576</v>
    <v>45576</v>
    <v>0</v>
    <v>1</v>
    <v>638642016000000000,638645902776906987,0</v>
    <v>0</v>
    <v>a1ueyc</v>
    <v>ARCX:HACK</v>
    <v>19</v>
  </rv>
  <rv s="8">
    <v>22</v>
    <v>HACK</v>
    <v>Daily</v>
    <v>45541</v>
    <v>45580</v>
    <v>0</v>
    <v>1</v>
    <v>638644608000000000,638645902780492439,0</v>
    <v>3</v>
    <v>a1ueyc</v>
    <v>ARCX:HACK</v>
    <v>20</v>
  </rv>
  <rv s="8">
    <v>22</v>
    <v>HACK</v>
    <v>Daily</v>
    <v>45579</v>
    <v>45579</v>
    <v>0</v>
    <v>1</v>
    <v>638644608000000000,638645902779266618,0</v>
    <v>0</v>
    <v>a1ueyc</v>
    <v>ARCX:HACK</v>
    <v>21</v>
  </rv>
  <rv s="8">
    <v>22</v>
    <v>IBIT</v>
    <v>Daily</v>
    <v>45565</v>
    <v>45565</v>
    <v>0</v>
    <v>1</v>
    <v>638632512000000000,638645899664653645,0</v>
    <v>0</v>
    <v>cc5pdm</v>
    <v>XNAS:IBIT</v>
    <v>22</v>
  </rv>
  <rv s="8">
    <v>22</v>
    <v>IBIT</v>
    <v>Daily</v>
    <v>45576</v>
    <v>45576</v>
    <v>0</v>
    <v>1</v>
    <v>638642016000000000,638645899660392393,0</v>
    <v>0</v>
    <v>cc5pdm</v>
    <v>XNAS:IBIT</v>
    <v>23</v>
  </rv>
  <rv s="8">
    <v>22</v>
    <v>IBIT</v>
    <v>Daily</v>
    <v>45541</v>
    <v>45580</v>
    <v>0</v>
    <v>1</v>
    <v>638644608000000000,638645899663943128,0</v>
    <v>3</v>
    <v>cc5pdm</v>
    <v>XNAS:IBIT</v>
    <v>24</v>
  </rv>
  <rv s="8">
    <v>22</v>
    <v>IBIT</v>
    <v>Daily</v>
    <v>45579</v>
    <v>45579</v>
    <v>0</v>
    <v>1</v>
    <v>638644608000000000,638645899660416469,0</v>
    <v>0</v>
    <v>cc5pdm</v>
    <v>XNAS:IBIT</v>
    <v>25</v>
  </rv>
  <rv s="8">
    <v>22</v>
    <v>SMH</v>
    <v>Daily</v>
    <v>45579</v>
    <v>45579</v>
    <v>0</v>
    <v>1</v>
    <v>638644608000000000,638645879685591168,0</v>
    <v>0</v>
    <v>a235f2</v>
    <v>XNAS:SMH</v>
    <v>26</v>
  </rv>
  <rv s="8">
    <v>22</v>
    <v>SMH</v>
    <v>Daily</v>
    <v>45565</v>
    <v>45565</v>
    <v>0</v>
    <v>1</v>
    <v>638632512000000000,638645916188860772,0</v>
    <v>0</v>
    <v>a235f2</v>
    <v>XNAS:SMH</v>
    <v>27</v>
  </rv>
  <rv s="8">
    <v>22</v>
    <v>SMH</v>
    <v>Daily</v>
    <v>45576</v>
    <v>45576</v>
    <v>0</v>
    <v>1</v>
    <v>638642016000000000,638645916189020069,0</v>
    <v>0</v>
    <v>a235f2</v>
    <v>XNAS:SMH</v>
    <v>28</v>
  </rv>
  <rv s="8">
    <v>22</v>
    <v>SMH</v>
    <v>Daily</v>
    <v>45541</v>
    <v>45580</v>
    <v>0</v>
    <v>1</v>
    <v>638644608000000000,638645916189338677,0</v>
    <v>3</v>
    <v>a235f2</v>
    <v>XNAS:SMH</v>
    <v>29</v>
  </rv>
  <rv s="8">
    <v>22</v>
    <v>VV</v>
    <v>Daily</v>
    <v>45541</v>
    <v>45580</v>
    <v>0</v>
    <v>1</v>
    <v>638644608000000000,638645902776024098,0</v>
    <v>3</v>
    <v>a25mww</v>
    <v>ARCX:VV</v>
    <v>30</v>
  </rv>
  <rv s="8">
    <v>22</v>
    <v>VV</v>
    <v>Daily</v>
    <v>45576</v>
    <v>45576</v>
    <v>0</v>
    <v>1</v>
    <v>638642016000000000,638645902776200151,0</v>
    <v>0</v>
    <v>a25mww</v>
    <v>ARCX:VV</v>
    <v>31</v>
  </rv>
  <rv s="8">
    <v>22</v>
    <v>VV</v>
    <v>Daily</v>
    <v>45565</v>
    <v>45565</v>
    <v>0</v>
    <v>1</v>
    <v>638632512000000000,638645902776014131,0</v>
    <v>0</v>
    <v>a25mww</v>
    <v>ARCX:VV</v>
    <v>32</v>
  </rv>
  <rv s="8">
    <v>22</v>
    <v>VV</v>
    <v>Daily</v>
    <v>45579</v>
    <v>45579</v>
    <v>0</v>
    <v>1</v>
    <v>638644608000000000,638645902775991050,0</v>
    <v>0</v>
    <v>a25mww</v>
    <v>ARCX:VV</v>
    <v>33</v>
  </rv>
  <rv s="8">
    <v>22</v>
    <v>TIP</v>
    <v>Daily</v>
    <v>45576</v>
    <v>45576</v>
    <v>0</v>
    <v>1</v>
    <v>638642016000000000,638645902776348434,0</v>
    <v>0</v>
    <v>a2491h</v>
    <v>ARCX:TIP</v>
    <v>34</v>
  </rv>
  <rv s="8">
    <v>22</v>
    <v>TIP</v>
    <v>Daily</v>
    <v>45579</v>
    <v>45579</v>
    <v>0</v>
    <v>1</v>
    <v>638644608000000000,638645902776517690,0</v>
    <v>0</v>
    <v>a2491h</v>
    <v>ARCX:TIP</v>
    <v>35</v>
  </rv>
  <rv s="8">
    <v>22</v>
    <v>TIP</v>
    <v>Daily</v>
    <v>45541</v>
    <v>45580</v>
    <v>0</v>
    <v>1</v>
    <v>638644608000000000,638645902776862062,0</v>
    <v>3</v>
    <v>a2491h</v>
    <v>ARCX:TIP</v>
    <v>36</v>
  </rv>
  <rv s="8">
    <v>22</v>
    <v>TIP</v>
    <v>Daily</v>
    <v>45565</v>
    <v>45565</v>
    <v>0</v>
    <v>1</v>
    <v>638632512000000000,638645902775796740,0</v>
    <v>0</v>
    <v>a2491h</v>
    <v>ARCX:TIP</v>
    <v>37</v>
  </rv>
  <rv s="8">
    <v>22</v>
    <v>BLOK</v>
    <v>Daily</v>
    <v>45565</v>
    <v>45565</v>
    <v>0</v>
    <v>1</v>
    <v>638632512000000000,638644005513939487,0</v>
    <v>0</v>
    <v>ayekc7</v>
    <v>ARCX:BLOK</v>
    <v>38</v>
  </rv>
  <rv s="8">
    <v>22</v>
    <v>BLOK</v>
    <v>Daily</v>
    <v>45576</v>
    <v>45576</v>
    <v>0</v>
    <v>1</v>
    <v>638642016000000000,638644996127373378,0</v>
    <v>0</v>
    <v>ayekc7</v>
    <v>ARCX:BLOK</v>
    <v>39</v>
  </rv>
  <rv s="8">
    <v>22</v>
    <v>BLOK</v>
    <v>Daily</v>
    <v>45541</v>
    <v>45580</v>
    <v>0</v>
    <v>1</v>
    <v>638644608000000000,638645730703227742,0</v>
    <v>3</v>
    <v>ayekc7</v>
    <v>ARCX:BLOK</v>
    <v>40</v>
  </rv>
  <rv s="8">
    <v>22</v>
    <v>BLOK</v>
    <v>Daily</v>
    <v>45579</v>
    <v>45579</v>
    <v>0</v>
    <v>1</v>
    <v>638644608000000000,638645899661969023,0</v>
    <v>0</v>
    <v>ayekc7</v>
    <v>ARCX:BLOK</v>
    <v>41</v>
  </rv>
  <rv s="8">
    <v>22</v>
    <v>IVW</v>
    <v>Daily</v>
    <v>45576</v>
    <v>45576</v>
    <v>0</v>
    <v>1</v>
    <v>638642016000000000,638645902776733302,0</v>
    <v>0</v>
    <v>a1vwur</v>
    <v>ARCX:IVW</v>
    <v>42</v>
  </rv>
  <rv s="8">
    <v>22</v>
    <v>IVW</v>
    <v>Daily</v>
    <v>45565</v>
    <v>45565</v>
    <v>0</v>
    <v>1</v>
    <v>638632512000000000,638645902776924011,0</v>
    <v>0</v>
    <v>a1vwur</v>
    <v>ARCX:IVW</v>
    <v>43</v>
  </rv>
  <rv s="8">
    <v>22</v>
    <v>IVW</v>
    <v>Daily</v>
    <v>45541</v>
    <v>45580</v>
    <v>0</v>
    <v>1</v>
    <v>638644608000000000,638645902779107341,0</v>
    <v>3</v>
    <v>a1vwur</v>
    <v>ARCX:IVW</v>
    <v>44</v>
  </rv>
  <rv s="8">
    <v>22</v>
    <v>IVW</v>
    <v>Daily</v>
    <v>45579</v>
    <v>45579</v>
    <v>0</v>
    <v>1</v>
    <v>638644608000000000,638645902779256695,0</v>
    <v>0</v>
    <v>a1vwur</v>
    <v>ARCX:IVW</v>
    <v>45</v>
  </rv>
  <rv s="8">
    <v>22</v>
    <v>IHAK</v>
    <v>Daily</v>
    <v>45576</v>
    <v>45576</v>
    <v>0</v>
    <v>1</v>
    <v>638642016000000000,638645902776727761,0</v>
    <v>0</v>
    <v>bqf977</v>
    <v>ARCX:IHAK</v>
    <v>46</v>
  </rv>
  <rv s="8">
    <v>22</v>
    <v>IHAK</v>
    <v>Daily</v>
    <v>45565</v>
    <v>45565</v>
    <v>0</v>
    <v>1</v>
    <v>638632512000000000,638645902775829875,0</v>
    <v>0</v>
    <v>bqf977</v>
    <v>ARCX:IHAK</v>
    <v>47</v>
  </rv>
  <rv s="8">
    <v>22</v>
    <v>IHAK</v>
    <v>Daily</v>
    <v>45579</v>
    <v>45579</v>
    <v>0</v>
    <v>1</v>
    <v>638644608000000000,638645902776478879,0</v>
    <v>0</v>
    <v>bqf977</v>
    <v>ARCX:IHAK</v>
    <v>48</v>
  </rv>
  <rv s="8">
    <v>22</v>
    <v>IHAK</v>
    <v>Daily</v>
    <v>45541</v>
    <v>45580</v>
    <v>0</v>
    <v>1</v>
    <v>638644608000000000,638645902780320163,0</v>
    <v>3</v>
    <v>bqf977</v>
    <v>ARCX:IHAK</v>
    <v>49</v>
  </rv>
  <rv s="8">
    <v>22</v>
    <v>QQQ</v>
    <v>Daily</v>
    <v>45576</v>
    <v>45576</v>
    <v>0</v>
    <v>1</v>
    <v>638642016000000000,638645902775694680,0</v>
    <v>0</v>
    <v>a21mim</v>
    <v>XNAS:QQQ</v>
    <v>50</v>
  </rv>
  <rv s="8">
    <v>22</v>
    <v>QQQ</v>
    <v>Daily</v>
    <v>45541</v>
    <v>45580</v>
    <v>0</v>
    <v>1</v>
    <v>638644608000000000,638645902779192938,0</v>
    <v>3</v>
    <v>a21mim</v>
    <v>XNAS:QQQ</v>
    <v>51</v>
  </rv>
  <rv s="8">
    <v>22</v>
    <v>QQQ</v>
    <v>Daily</v>
    <v>45565</v>
    <v>45565</v>
    <v>0</v>
    <v>1</v>
    <v>638632512000000000,638645902780702681,0</v>
    <v>0</v>
    <v>a21mim</v>
    <v>XNAS:QQQ</v>
    <v>52</v>
  </rv>
  <rv s="8">
    <v>22</v>
    <v>QQQ</v>
    <v>Daily</v>
    <v>45579</v>
    <v>45579</v>
    <v>0</v>
    <v>1</v>
    <v>638644608000000000,638645902780875729,0</v>
    <v>0</v>
    <v>a21mim</v>
    <v>XNAS:QQQ</v>
    <v>53</v>
  </rv>
  <rv s="8">
    <v>22</v>
    <v>GDXJ</v>
    <v>Daily</v>
    <v>45565</v>
    <v>45565</v>
    <v>0</v>
    <v>1</v>
    <v>638632512000000000,638645902775448710,0</v>
    <v>0</v>
    <v>a1tqrw</v>
    <v>ARCX:GDXJ</v>
    <v>54</v>
  </rv>
  <rv s="8">
    <v>22</v>
    <v>GDXJ</v>
    <v>Daily</v>
    <v>45576</v>
    <v>45576</v>
    <v>0</v>
    <v>1</v>
    <v>638642016000000000,638645902775846958,0</v>
    <v>0</v>
    <v>a1tqrw</v>
    <v>ARCX:GDXJ</v>
    <v>55</v>
  </rv>
  <rv s="8">
    <v>22</v>
    <v>GDXJ</v>
    <v>Daily</v>
    <v>45541</v>
    <v>45580</v>
    <v>0</v>
    <v>1</v>
    <v>638644608000000000,638645902777210960,0</v>
    <v>3</v>
    <v>a1tqrw</v>
    <v>ARCX:GDXJ</v>
    <v>56</v>
  </rv>
  <rv s="8">
    <v>22</v>
    <v>GDXJ</v>
    <v>Daily</v>
    <v>45579</v>
    <v>45579</v>
    <v>0</v>
    <v>1</v>
    <v>638644608000000000,638645902776366510,0</v>
    <v>0</v>
    <v>a1tqrw</v>
    <v>ARCX:GDXJ</v>
    <v>57</v>
  </rv>
  <rv s="8">
    <v>22</v>
    <v>SPY</v>
    <v>Daily</v>
    <v>45565</v>
    <v>45565</v>
    <v>0</v>
    <v>1</v>
    <v>638632512000000000,638644005513547097,0</v>
    <v>0</v>
    <v>a23hqh</v>
    <v>ARCX:SPY</v>
    <v>58</v>
  </rv>
  <rv s="8">
    <v>22</v>
    <v>SPY</v>
    <v>Daily</v>
    <v>45576</v>
    <v>45576</v>
    <v>0</v>
    <v>1</v>
    <v>638642016000000000,638644996130567172,0</v>
    <v>0</v>
    <v>a23hqh</v>
    <v>ARCX:SPY</v>
    <v>59</v>
  </rv>
  <rv s="8">
    <v>22</v>
    <v>SPY</v>
    <v>Daily</v>
    <v>45541</v>
    <v>45580</v>
    <v>0</v>
    <v>1</v>
    <v>638644608000000000,638645730700494209,0</v>
    <v>3</v>
    <v>a23hqh</v>
    <v>ARCX:SPY</v>
    <v>60</v>
  </rv>
  <rv s="8">
    <v>22</v>
    <v>SPY</v>
    <v>Daily</v>
    <v>45579</v>
    <v>45579</v>
    <v>0</v>
    <v>1</v>
    <v>638644608000000000,638645899661767941,0</v>
    <v>0</v>
    <v>a23hqh</v>
    <v>ARCX:SPY</v>
    <v>61</v>
  </rv>
  <rv s="8">
    <v>22</v>
    <v>SLV</v>
    <v>Daily</v>
    <v>45565</v>
    <v>45565</v>
    <v>0</v>
    <v>1</v>
    <v>638632512000000000,638645902776183094,0</v>
    <v>0</v>
    <v>a233ur</v>
    <v>ARCX:SLV</v>
    <v>62</v>
  </rv>
  <rv s="8">
    <v>22</v>
    <v>SLV</v>
    <v>Daily</v>
    <v>45576</v>
    <v>45576</v>
    <v>0</v>
    <v>1</v>
    <v>638642016000000000,638645902776298791,0</v>
    <v>0</v>
    <v>a233ur</v>
    <v>ARCX:SLV</v>
    <v>63</v>
  </rv>
  <rv s="8">
    <v>22</v>
    <v>SLV</v>
    <v>Daily</v>
    <v>45541</v>
    <v>45580</v>
    <v>0</v>
    <v>1</v>
    <v>638644608000000000,638645902776603410,0</v>
    <v>3</v>
    <v>a233ur</v>
    <v>ARCX:SLV</v>
    <v>64</v>
  </rv>
  <rv s="8">
    <v>22</v>
    <v>SLV</v>
    <v>Daily</v>
    <v>45579</v>
    <v>45579</v>
    <v>0</v>
    <v>1</v>
    <v>638644608000000000,638645902779369116,0</v>
    <v>0</v>
    <v>a233ur</v>
    <v>ARCX:SLV</v>
    <v>65</v>
  </rv>
  <rv s="8">
    <v>22</v>
    <v>XOP</v>
    <v>Daily</v>
    <v>45565</v>
    <v>45565</v>
    <v>0</v>
    <v>1</v>
    <v>638632512000000000,638645902775374936,0</v>
    <v>0</v>
    <v>a269pr</v>
    <v>ARCX:XOP</v>
    <v>66</v>
  </rv>
  <rv s="8">
    <v>22</v>
    <v>XOP</v>
    <v>Daily</v>
    <v>45576</v>
    <v>45576</v>
    <v>0</v>
    <v>1</v>
    <v>638642016000000000,638645902775541151,0</v>
    <v>0</v>
    <v>a269pr</v>
    <v>ARCX:XOP</v>
    <v>67</v>
  </rv>
  <rv s="8">
    <v>22</v>
    <v>XOP</v>
    <v>Daily</v>
    <v>45579</v>
    <v>45579</v>
    <v>0</v>
    <v>1</v>
    <v>638644608000000000,638645902779752656,0</v>
    <v>0</v>
    <v>a269pr</v>
    <v>ARCX:XOP</v>
    <v>68</v>
  </rv>
  <rv s="8">
    <v>22</v>
    <v>XOP</v>
    <v>Daily</v>
    <v>45541</v>
    <v>45580</v>
    <v>0</v>
    <v>1</v>
    <v>638644608000000000,638645902780152720,0</v>
    <v>3</v>
    <v>a269pr</v>
    <v>ARCX:XOP</v>
    <v>69</v>
  </rv>
  <rv s="8">
    <v>22</v>
    <v>GBTC</v>
    <v>Daily</v>
    <v>45541</v>
    <v>45580</v>
    <v>0</v>
    <v>1</v>
    <v>638644608000000000,638645902775793397,0</v>
    <v>3</v>
    <v>a2hqlh</v>
    <v>ARCX:GBTC</v>
    <v>70</v>
  </rv>
  <rv s="8">
    <v>22</v>
    <v>GBTC</v>
    <v>Daily</v>
    <v>45579</v>
    <v>45579</v>
    <v>0</v>
    <v>1</v>
    <v>638644608000000000,638645902776693231,0</v>
    <v>0</v>
    <v>a2hqlh</v>
    <v>ARCX:GBTC</v>
    <v>71</v>
  </rv>
  <rv s="8">
    <v>22</v>
    <v>GBTC</v>
    <v>Daily</v>
    <v>45576</v>
    <v>45576</v>
    <v>0</v>
    <v>1</v>
    <v>638642016000000000,638645902776324850,0</v>
    <v>0</v>
    <v>a2hqlh</v>
    <v>ARCX:GBTC</v>
    <v>72</v>
  </rv>
  <rv s="8">
    <v>22</v>
    <v>GBTC</v>
    <v>Daily</v>
    <v>45565</v>
    <v>45565</v>
    <v>0</v>
    <v>1</v>
    <v>638632512000000000,638645902779819470,0</v>
    <v>0</v>
    <v>a2hqlh</v>
    <v>ARCX:GBTC</v>
    <v>73</v>
  </rv>
  <rv s="8">
    <v>22</v>
    <v>FXI</v>
    <v>Daily</v>
    <v>45576</v>
    <v>45576</v>
    <v>0</v>
    <v>1</v>
    <v>638642016000000000,638645902780105889,0</v>
    <v>0</v>
    <v>a1tkf2</v>
    <v>ARCX:FXI</v>
    <v>74</v>
  </rv>
  <rv s="8">
    <v>22</v>
    <v>FXI</v>
    <v>Daily</v>
    <v>45541</v>
    <v>45580</v>
    <v>0</v>
    <v>1</v>
    <v>638644608000000000,638645902779052648,0</v>
    <v>3</v>
    <v>a1tkf2</v>
    <v>ARCX:FXI</v>
    <v>75</v>
  </rv>
  <rv s="8">
    <v>22</v>
    <v>FXI</v>
    <v>Daily</v>
    <v>45579</v>
    <v>45579</v>
    <v>0</v>
    <v>1</v>
    <v>638644608000000000,638645902780683348,0</v>
    <v>0</v>
    <v>a1tkf2</v>
    <v>ARCX:FXI</v>
    <v>76</v>
  </rv>
  <rv s="8">
    <v>22</v>
    <v>FXI</v>
    <v>Daily</v>
    <v>45565</v>
    <v>45565</v>
    <v>0</v>
    <v>1</v>
    <v>638632512000000000,638645902779444965,0</v>
    <v>0</v>
    <v>a1tkf2</v>
    <v>ARCX:FXI</v>
    <v>77</v>
  </rv>
  <rv s="8">
    <v>22</v>
    <v>IEMG</v>
    <v>Daily</v>
    <v>45579</v>
    <v>45579</v>
    <v>0</v>
    <v>1</v>
    <v>638644608000000000,638645902776562362,0</v>
    <v>0</v>
    <v>a1vbk2</v>
    <v>ARCX:IEMG</v>
    <v>78</v>
  </rv>
  <rv s="8">
    <v>22</v>
    <v>IEMG</v>
    <v>Daily</v>
    <v>45541</v>
    <v>45580</v>
    <v>0</v>
    <v>1</v>
    <v>638644608000000000,638645902776343321,0</v>
    <v>3</v>
    <v>a1vbk2</v>
    <v>ARCX:IEMG</v>
    <v>79</v>
  </rv>
  <rv s="8">
    <v>22</v>
    <v>IEMG</v>
    <v>Daily</v>
    <v>45565</v>
    <v>45565</v>
    <v>0</v>
    <v>1</v>
    <v>638632512000000000,638645902776164108,0</v>
    <v>0</v>
    <v>a1vbk2</v>
    <v>ARCX:IEMG</v>
    <v>80</v>
  </rv>
  <rv s="8">
    <v>22</v>
    <v>IEMG</v>
    <v>Daily</v>
    <v>45576</v>
    <v>45576</v>
    <v>0</v>
    <v>1</v>
    <v>638642016000000000,638645902775968311,0</v>
    <v>0</v>
    <v>a1vbk2</v>
    <v>ARCX:IEMG</v>
    <v>81</v>
  </rv>
  <rv s="8">
    <v>22</v>
    <v>SKYY</v>
    <v>Daily</v>
    <v>45565</v>
    <v>45565</v>
    <v>0</v>
    <v>1</v>
    <v>638632512000000000,638644005513759827,0</v>
    <v>0</v>
    <v>a232h7</v>
    <v>XNAS:SKYY</v>
    <v>82</v>
  </rv>
  <rv s="8">
    <v>22</v>
    <v>SKYY</v>
    <v>Daily</v>
    <v>45576</v>
    <v>45576</v>
    <v>0</v>
    <v>1</v>
    <v>638642016000000000,638644996127235844,0</v>
    <v>0</v>
    <v>a232h7</v>
    <v>XNAS:SKYY</v>
    <v>83</v>
  </rv>
  <rv s="8">
    <v>22</v>
    <v>SKYY</v>
    <v>Daily</v>
    <v>45541</v>
    <v>45580</v>
    <v>0</v>
    <v>1</v>
    <v>638644608000000000,638645730699701205,0</v>
    <v>3</v>
    <v>a232h7</v>
    <v>XNAS:SKYY</v>
    <v>84</v>
  </rv>
  <rv s="8">
    <v>22</v>
    <v>SKYY</v>
    <v>Daily</v>
    <v>45579</v>
    <v>45579</v>
    <v>0</v>
    <v>1</v>
    <v>638644608000000000,638645899665085865,0</v>
    <v>0</v>
    <v>a232h7</v>
    <v>XNAS:SKYY</v>
    <v>85</v>
  </rv>
  <rv s="8">
    <v>22</v>
    <v>AGG</v>
    <v>Daily</v>
    <v>45541</v>
    <v>45580</v>
    <v>0</v>
    <v>1</v>
    <v>638644608000000000,638645902775547363,0</v>
    <v>3</v>
    <v>a1n26h</v>
    <v>ARCX:AGG</v>
    <v>86</v>
  </rv>
  <rv s="8">
    <v>22</v>
    <v>AGG</v>
    <v>Daily</v>
    <v>45576</v>
    <v>45576</v>
    <v>0</v>
    <v>1</v>
    <v>638642016000000000,638645902776122459,0</v>
    <v>0</v>
    <v>a1n26h</v>
    <v>ARCX:AGG</v>
    <v>87</v>
  </rv>
  <rv s="8">
    <v>22</v>
    <v>AGG</v>
    <v>Daily</v>
    <v>45579</v>
    <v>45579</v>
    <v>0</v>
    <v>1</v>
    <v>638644608000000000,638645902780080644,0</v>
    <v>0</v>
    <v>a1n26h</v>
    <v>ARCX:AGG</v>
    <v>88</v>
  </rv>
  <rv s="8">
    <v>22</v>
    <v>AGG</v>
    <v>Daily</v>
    <v>45565</v>
    <v>45565</v>
    <v>0</v>
    <v>1</v>
    <v>638632512000000000,638645902780224457,0</v>
    <v>0</v>
    <v>a1n26h</v>
    <v>ARCX:AGG</v>
    <v>89</v>
  </rv>
  <rv s="8">
    <v>22</v>
    <v>VWO</v>
    <v>Daily</v>
    <v>45565</v>
    <v>45565</v>
    <v>0</v>
    <v>1</v>
    <v>638632512000000000,638645902775735063,0</v>
    <v>0</v>
    <v>a25nhw</v>
    <v>ARCX:VWO</v>
    <v>90</v>
  </rv>
  <rv s="8">
    <v>22</v>
    <v>VWO</v>
    <v>Daily</v>
    <v>45541</v>
    <v>45580</v>
    <v>0</v>
    <v>1</v>
    <v>638644608000000000,638645902780524047,0</v>
    <v>3</v>
    <v>a25nhw</v>
    <v>ARCX:VWO</v>
    <v>91</v>
  </rv>
  <rv s="8">
    <v>22</v>
    <v>VWO</v>
    <v>Daily</v>
    <v>45576</v>
    <v>45576</v>
    <v>0</v>
    <v>1</v>
    <v>638642016000000000,638645902780862545,0</v>
    <v>0</v>
    <v>a25nhw</v>
    <v>ARCX:VWO</v>
    <v>92</v>
  </rv>
  <rv s="8">
    <v>22</v>
    <v>VWO</v>
    <v>Daily</v>
    <v>45579</v>
    <v>45579</v>
    <v>0</v>
    <v>1</v>
    <v>638644608000000000,638645902780390830,0</v>
    <v>0</v>
    <v>a25nhw</v>
    <v>ARCX:VWO</v>
    <v>93</v>
  </rv>
  <rv s="8">
    <v>22</v>
    <v>LIT</v>
    <v>Daily</v>
    <v>45576</v>
    <v>45576</v>
    <v>0</v>
    <v>1</v>
    <v>638642016000000000,638645730699527658,0</v>
    <v>0</v>
    <v>a1wxdm</v>
    <v>ARCX:LIT</v>
    <v>94</v>
  </rv>
  <rv s="8">
    <v>22</v>
    <v>LIT</v>
    <v>Daily</v>
    <v>45565</v>
    <v>45565</v>
    <v>0</v>
    <v>1</v>
    <v>638632512000000000,638645730700021836,0</v>
    <v>0</v>
    <v>a1wxdm</v>
    <v>ARCX:LIT</v>
    <v>95</v>
  </rv>
  <rv s="8">
    <v>22</v>
    <v>LIT</v>
    <v>Daily</v>
    <v>45541</v>
    <v>45580</v>
    <v>0</v>
    <v>1</v>
    <v>638644608000000000,638645730702467463,0</v>
    <v>3</v>
    <v>a1wxdm</v>
    <v>ARCX:LIT</v>
    <v>96</v>
  </rv>
  <rv s="8">
    <v>22</v>
    <v>LIT</v>
    <v>Daily</v>
    <v>45579</v>
    <v>45579</v>
    <v>0</v>
    <v>1</v>
    <v>638644608000000000,638645899660395936,0</v>
    <v>0</v>
    <v>a1wxdm</v>
    <v>ARCX:LIT</v>
    <v>97</v>
  </rv>
  <rv s="8">
    <v>22</v>
    <v>ILIT</v>
    <v>Daily</v>
    <v>45565</v>
    <v>45565</v>
    <v>0</v>
    <v>1</v>
    <v>638632512000000000,638645902776244313,0</v>
    <v>0</v>
    <v>ca4hh7</v>
    <v>XNAS:ILIT</v>
    <v>98</v>
  </rv>
  <rv s="8">
    <v>22</v>
    <v>ILIT</v>
    <v>Daily</v>
    <v>45576</v>
    <v>45576</v>
    <v>0</v>
    <v>1</v>
    <v>638642016000000000,638645902779938084,0</v>
    <v>0</v>
    <v>ca4hh7</v>
    <v>XNAS:ILIT</v>
    <v>99</v>
  </rv>
  <rv s="8">
    <v>22</v>
    <v>ILIT</v>
    <v>Daily</v>
    <v>45579</v>
    <v>45579</v>
    <v>0</v>
    <v>1</v>
    <v>638644608000000000,638645902779443450,0</v>
    <v>0</v>
    <v>ca4hh7</v>
    <v>XNAS:ILIT</v>
    <v>100</v>
  </rv>
  <rv s="8">
    <v>22</v>
    <v>ILIT</v>
    <v>Daily</v>
    <v>45541</v>
    <v>45580</v>
    <v>0</v>
    <v>1</v>
    <v>638644608000000000,638645902779637023,0</v>
    <v>3</v>
    <v>ca4hh7</v>
    <v>XNAS:ILIT</v>
    <v>101</v>
  </rv>
  <rv s="8">
    <v>22</v>
    <v>MCHI</v>
    <v>Daily</v>
    <v>45576</v>
    <v>45576</v>
    <v>0</v>
    <v>1</v>
    <v>638642016000000000,638645902776060789,0</v>
    <v>0</v>
    <v>a1xdsm</v>
    <v>XNAS:MCHI</v>
    <v>102</v>
  </rv>
  <rv s="8">
    <v>22</v>
    <v>MCHI</v>
    <v>Daily</v>
    <v>45565</v>
    <v>45565</v>
    <v>0</v>
    <v>1</v>
    <v>638632512000000000,638645902775463423,0</v>
    <v>0</v>
    <v>a1xdsm</v>
    <v>XNAS:MCHI</v>
    <v>103</v>
  </rv>
  <rv s="8">
    <v>22</v>
    <v>MCHI</v>
    <v>Daily</v>
    <v>45541</v>
    <v>45580</v>
    <v>0</v>
    <v>1</v>
    <v>638644608000000000,638645902779269825,0</v>
    <v>3</v>
    <v>a1xdsm</v>
    <v>XNAS:MCHI</v>
    <v>104</v>
  </rv>
  <rv s="8">
    <v>22</v>
    <v>MCHI</v>
    <v>Daily</v>
    <v>45579</v>
    <v>45579</v>
    <v>0</v>
    <v>1</v>
    <v>638644608000000000,638645902779973535,0</v>
    <v>0</v>
    <v>a1xdsm</v>
    <v>XNAS:MCHI</v>
    <v>105</v>
  </rv>
  <rv s="8">
    <v>22</v>
    <v>CIBR</v>
    <v>Daily</v>
    <v>45579</v>
    <v>45579</v>
    <v>0</v>
    <v>1</v>
    <v>638644608000000000,638645902776406799,0</v>
    <v>0</v>
    <v>a1ppec</v>
    <v>XNAS:CIBR</v>
    <v>106</v>
  </rv>
  <rv s="8">
    <v>22</v>
    <v>CIBR</v>
    <v>Daily</v>
    <v>45541</v>
    <v>45580</v>
    <v>0</v>
    <v>1</v>
    <v>638644608000000000,638645902776652520,0</v>
    <v>3</v>
    <v>a1ppec</v>
    <v>XNAS:CIBR</v>
    <v>107</v>
  </rv>
  <rv s="8">
    <v>22</v>
    <v>CIBR</v>
    <v>Daily</v>
    <v>45565</v>
    <v>45565</v>
    <v>0</v>
    <v>1</v>
    <v>638632512000000000,638645902777180199,0</v>
    <v>0</v>
    <v>a1ppec</v>
    <v>XNAS:CIBR</v>
    <v>108</v>
  </rv>
  <rv s="8">
    <v>22</v>
    <v>CIBR</v>
    <v>Daily</v>
    <v>45576</v>
    <v>45576</v>
    <v>0</v>
    <v>1</v>
    <v>638642016000000000,638645902779911399,0</v>
    <v>0</v>
    <v>a1ppec</v>
    <v>XNAS:CIBR</v>
    <v>109</v>
  </rv>
  <rv s="8">
    <v>22</v>
    <v>QQQM</v>
    <v>Daily</v>
    <v>45579</v>
    <v>45579</v>
    <v>0</v>
    <v>1</v>
    <v>638644608000000000,638645902775648705,0</v>
    <v>0</v>
    <v>bwgc1h</v>
    <v>XNAS:QQQM</v>
    <v>110</v>
  </rv>
  <rv s="8">
    <v>22</v>
    <v>QQQM</v>
    <v>Daily</v>
    <v>45576</v>
    <v>45576</v>
    <v>0</v>
    <v>1</v>
    <v>638642016000000000,638645902777092361,0</v>
    <v>0</v>
    <v>bwgc1h</v>
    <v>XNAS:QQQM</v>
    <v>111</v>
  </rv>
  <rv s="8">
    <v>22</v>
    <v>QQQM</v>
    <v>Daily</v>
    <v>45565</v>
    <v>45565</v>
    <v>0</v>
    <v>1</v>
    <v>638632512000000000,638645902778765008,0</v>
    <v>0</v>
    <v>bwgc1h</v>
    <v>XNAS:QQQM</v>
    <v>112</v>
  </rv>
  <rv s="8">
    <v>22</v>
    <v>QQQM</v>
    <v>Daily</v>
    <v>45541</v>
    <v>45580</v>
    <v>0</v>
    <v>1</v>
    <v>638644608000000000,638645902779939692,0</v>
    <v>3</v>
    <v>bwgc1h</v>
    <v>XNAS:QQQM</v>
    <v>113</v>
  </rv>
  <rv s="8">
    <v>22</v>
    <v>EEM</v>
    <v>Daily</v>
    <v>45576</v>
    <v>45576</v>
    <v>0</v>
    <v>1</v>
    <v>638642016000000000,638645902776118602,0</v>
    <v>0</v>
    <v>a1rour</v>
    <v>ARCX:EEM</v>
    <v>114</v>
  </rv>
  <rv s="8">
    <v>22</v>
    <v>EEM</v>
    <v>Daily</v>
    <v>45565</v>
    <v>45565</v>
    <v>0</v>
    <v>1</v>
    <v>638632512000000000,638645902776788711,0</v>
    <v>0</v>
    <v>a1rour</v>
    <v>ARCX:EEM</v>
    <v>115</v>
  </rv>
  <rv s="8">
    <v>22</v>
    <v>EEM</v>
    <v>Daily</v>
    <v>45579</v>
    <v>45579</v>
    <v>0</v>
    <v>1</v>
    <v>638644608000000000,638645902779297695,0</v>
    <v>0</v>
    <v>a1rour</v>
    <v>ARCX:EEM</v>
    <v>116</v>
  </rv>
  <rv s="8">
    <v>22</v>
    <v>EEM</v>
    <v>Daily</v>
    <v>45541</v>
    <v>45580</v>
    <v>0</v>
    <v>1</v>
    <v>638644608000000000,638645902779804254,0</v>
    <v>3</v>
    <v>a1rour</v>
    <v>ARCX:EEM</v>
    <v>117</v>
  </rv>
  <rv s="8">
    <v>22</v>
    <v>EWT</v>
    <v>Daily</v>
    <v>45541</v>
    <v>45580</v>
    <v>0</v>
    <v>1</v>
    <v>638644608000000000,638645902776531002,0</v>
    <v>3</v>
    <v>a1sgk2</v>
    <v>ARCX:EWT</v>
    <v>118</v>
  </rv>
  <rv s="8">
    <v>22</v>
    <v>EWT</v>
    <v>Daily</v>
    <v>45579</v>
    <v>45579</v>
    <v>0</v>
    <v>1</v>
    <v>638644608000000000,638645902779103333,0</v>
    <v>0</v>
    <v>a1sgk2</v>
    <v>ARCX:EWT</v>
    <v>119</v>
  </rv>
  <rv s="8">
    <v>22</v>
    <v>EWT</v>
    <v>Daily</v>
    <v>45565</v>
    <v>45565</v>
    <v>0</v>
    <v>1</v>
    <v>638632512000000000,638645902780178797,0</v>
    <v>0</v>
    <v>a1sgk2</v>
    <v>ARCX:EWT</v>
    <v>120</v>
  </rv>
  <rv s="8">
    <v>22</v>
    <v>EWT</v>
    <v>Daily</v>
    <v>45576</v>
    <v>45576</v>
    <v>0</v>
    <v>1</v>
    <v>638642016000000000,638645902779451804,0</v>
    <v>0</v>
    <v>a1sgk2</v>
    <v>ARCX:EWT</v>
    <v>121</v>
  </rv>
  <rv s="8">
    <v>22</v>
    <v>VFH</v>
    <v>Daily</v>
    <v>45541</v>
    <v>45580</v>
    <v>0</v>
    <v>1</v>
    <v>638644608000000000,638645902775831791,0</v>
    <v>3</v>
    <v>a25aim</v>
    <v>ARCX:VFH</v>
    <v>122</v>
  </rv>
  <rv s="8">
    <v>22</v>
    <v>VFH</v>
    <v>Daily</v>
    <v>45579</v>
    <v>45579</v>
    <v>0</v>
    <v>1</v>
    <v>638644608000000000,638645902777036501,0</v>
    <v>0</v>
    <v>a25aim</v>
    <v>ARCX:VFH</v>
    <v>123</v>
  </rv>
  <rv s="8">
    <v>22</v>
    <v>VFH</v>
    <v>Daily</v>
    <v>45565</v>
    <v>45565</v>
    <v>0</v>
    <v>1</v>
    <v>638632512000000000,638645902779654952,0</v>
    <v>0</v>
    <v>a25aim</v>
    <v>ARCX:VFH</v>
    <v>124</v>
  </rv>
  <rv s="8">
    <v>22</v>
    <v>VFH</v>
    <v>Daily</v>
    <v>45576</v>
    <v>45576</v>
    <v>0</v>
    <v>1</v>
    <v>638642016000000000,638645902779847299,0</v>
    <v>0</v>
    <v>a25aim</v>
    <v>ARCX:VFH</v>
    <v>125</v>
  </rv>
  <rv s="8">
    <v>22</v>
    <v>SPYG</v>
    <v>Daily</v>
    <v>45579</v>
    <v>45579</v>
    <v>0</v>
    <v>1</v>
    <v>638644608000000000,638645902777109962,0</v>
    <v>0</v>
    <v>a23hz2</v>
    <v>ARCX:SPYG</v>
    <v>126</v>
  </rv>
  <rv s="8">
    <v>22</v>
    <v>SPYG</v>
    <v>Daily</v>
    <v>45576</v>
    <v>45576</v>
    <v>0</v>
    <v>1</v>
    <v>638642016000000000,638645902775527938,0</v>
    <v>0</v>
    <v>a23hz2</v>
    <v>ARCX:SPYG</v>
    <v>127</v>
  </rv>
  <rv s="8">
    <v>22</v>
    <v>SPYG</v>
    <v>Daily</v>
    <v>45565</v>
    <v>45565</v>
    <v>0</v>
    <v>1</v>
    <v>638632512000000000,638645902776665247,0</v>
    <v>0</v>
    <v>a23hz2</v>
    <v>ARCX:SPYG</v>
    <v>128</v>
  </rv>
  <rv s="8">
    <v>22</v>
    <v>SPYG</v>
    <v>Daily</v>
    <v>45541</v>
    <v>45580</v>
    <v>0</v>
    <v>1</v>
    <v>638644608000000000,638645902776018094,0</v>
    <v>3</v>
    <v>a23hz2</v>
    <v>ARCX:SPYG</v>
    <v>129</v>
  </rv>
  <rv s="8">
    <v>22</v>
    <v>MGK</v>
    <v>Daily</v>
    <v>45579</v>
    <v>45579</v>
    <v>0</v>
    <v>1</v>
    <v>638644608000000000,638645902776557654,0</v>
    <v>0</v>
    <v>a1xkc7</v>
    <v>ARCX:MGK</v>
    <v>130</v>
  </rv>
  <rv s="8">
    <v>22</v>
    <v>MGK</v>
    <v>Daily</v>
    <v>45565</v>
    <v>45565</v>
    <v>0</v>
    <v>1</v>
    <v>638632512000000000,638645902776929827,0</v>
    <v>0</v>
    <v>a1xkc7</v>
    <v>ARCX:MGK</v>
    <v>131</v>
  </rv>
  <rv s="8">
    <v>22</v>
    <v>MGK</v>
    <v>Daily</v>
    <v>45576</v>
    <v>45576</v>
    <v>0</v>
    <v>1</v>
    <v>638642016000000000,638645902776866300,0</v>
    <v>0</v>
    <v>a1xkc7</v>
    <v>ARCX:MGK</v>
    <v>132</v>
  </rv>
  <rv s="8">
    <v>22</v>
    <v>MGK</v>
    <v>Daily</v>
    <v>45541</v>
    <v>45580</v>
    <v>0</v>
    <v>1</v>
    <v>638644608000000000,638645902779737497,0</v>
    <v>3</v>
    <v>a1xkc7</v>
    <v>ARCX:MGK</v>
    <v>133</v>
  </rv>
  <rv s="8">
    <v>22</v>
    <v>IWP</v>
    <v>Daily</v>
    <v>45565</v>
    <v>45565</v>
    <v>0</v>
    <v>1</v>
    <v>638632512000000000,638645902779261563,0</v>
    <v>0</v>
    <v>a1vxoc</v>
    <v>ARCX:IWP</v>
    <v>134</v>
  </rv>
  <rv s="8">
    <v>22</v>
    <v>IWP</v>
    <v>Daily</v>
    <v>45541</v>
    <v>45580</v>
    <v>0</v>
    <v>1</v>
    <v>638644608000000000,638645902778855625,0</v>
    <v>3</v>
    <v>a1vxoc</v>
    <v>ARCX:IWP</v>
    <v>135</v>
  </rv>
  <rv s="8">
    <v>22</v>
    <v>IWP</v>
    <v>Daily</v>
    <v>45579</v>
    <v>45579</v>
    <v>0</v>
    <v>1</v>
    <v>638644608000000000,638645902778903204,0</v>
    <v>0</v>
    <v>a1vxoc</v>
    <v>ARCX:IWP</v>
    <v>136</v>
  </rv>
  <rv s="8">
    <v>22</v>
    <v>IWP</v>
    <v>Daily</v>
    <v>45576</v>
    <v>45576</v>
    <v>0</v>
    <v>1</v>
    <v>638642016000000000,638645902779094567,0</v>
    <v>0</v>
    <v>a1vxoc</v>
    <v>ARCX:IWP</v>
    <v>137</v>
  </rv>
  <rv s="8">
    <v>22</v>
    <v>VXUS</v>
    <v>Daily</v>
    <v>45541</v>
    <v>45580</v>
    <v>0</v>
    <v>1</v>
    <v>638644608000000000,638645902777022034,0</v>
    <v>3</v>
    <v>a25ntc</v>
    <v>XNAS:VXUS</v>
    <v>138</v>
  </rv>
  <rv s="8">
    <v>22</v>
    <v>VXUS</v>
    <v>Daily</v>
    <v>45576</v>
    <v>45576</v>
    <v>0</v>
    <v>1</v>
    <v>638642016000000000,638645902775602742,0</v>
    <v>0</v>
    <v>a25ntc</v>
    <v>XNAS:VXUS</v>
    <v>139</v>
  </rv>
  <rv s="8">
    <v>22</v>
    <v>VXUS</v>
    <v>Daily</v>
    <v>45565</v>
    <v>45565</v>
    <v>0</v>
    <v>1</v>
    <v>638632512000000000,638645902777205691,0</v>
    <v>0</v>
    <v>a25ntc</v>
    <v>XNAS:VXUS</v>
    <v>140</v>
  </rv>
  <rv s="8">
    <v>22</v>
    <v>VXUS</v>
    <v>Daily</v>
    <v>45579</v>
    <v>45579</v>
    <v>0</v>
    <v>1</v>
    <v>638644608000000000,638645902776140379,0</v>
    <v>0</v>
    <v>a25ntc</v>
    <v>XNAS:VXUS</v>
    <v>141</v>
  </rv>
  <rv s="8">
    <v>22</v>
    <v>IEFA</v>
    <v>Daily</v>
    <v>45541</v>
    <v>45580</v>
    <v>0</v>
    <v>1</v>
    <v>638644608000000000,638645902776842574,0</v>
    <v>3</v>
    <v>a1vbec</v>
    <v>BATS:IEFA</v>
    <v>142</v>
  </rv>
  <rv s="8">
    <v>22</v>
    <v>IEFA</v>
    <v>Daily</v>
    <v>45579</v>
    <v>45579</v>
    <v>0</v>
    <v>1</v>
    <v>638644608000000000,638645902775952710,0</v>
    <v>0</v>
    <v>a1vbec</v>
    <v>BATS:IEFA</v>
    <v>143</v>
  </rv>
  <rv s="8">
    <v>22</v>
    <v>IEFA</v>
    <v>Daily</v>
    <v>45576</v>
    <v>45576</v>
    <v>0</v>
    <v>1</v>
    <v>638642016000000000,638645902778604817,0</v>
    <v>0</v>
    <v>a1vbec</v>
    <v>BATS:IEFA</v>
    <v>144</v>
  </rv>
  <rv s="8">
    <v>22</v>
    <v>IEFA</v>
    <v>Daily</v>
    <v>45565</v>
    <v>45565</v>
    <v>0</v>
    <v>1</v>
    <v>638632512000000000,638645902779537020,0</v>
    <v>0</v>
    <v>a1vbec</v>
    <v>BATS:IEFA</v>
    <v>145</v>
  </rv>
  <rv s="8">
    <v>22</v>
    <v>EWJ</v>
    <v>Daily</v>
    <v>45576</v>
    <v>45576</v>
    <v>0</v>
    <v>1</v>
    <v>638642016000000000,638645902777247043,0</v>
    <v>0</v>
    <v>a1sfkr</v>
    <v>ARCX:EWJ</v>
    <v>146</v>
  </rv>
  <rv s="8">
    <v>22</v>
    <v>EWJ</v>
    <v>Daily</v>
    <v>45579</v>
    <v>45579</v>
    <v>0</v>
    <v>1</v>
    <v>638644608000000000,638645902777200996,0</v>
    <v>0</v>
    <v>a1sfkr</v>
    <v>ARCX:EWJ</v>
    <v>147</v>
  </rv>
  <rv s="8">
    <v>22</v>
    <v>EWJ</v>
    <v>Daily</v>
    <v>45565</v>
    <v>45565</v>
    <v>0</v>
    <v>1</v>
    <v>638632512000000000,638645902779616651,0</v>
    <v>0</v>
    <v>a1sfkr</v>
    <v>ARCX:EWJ</v>
    <v>148</v>
  </rv>
  <rv s="8">
    <v>22</v>
    <v>EWJ</v>
    <v>Daily</v>
    <v>45541</v>
    <v>45580</v>
    <v>0</v>
    <v>1</v>
    <v>638644608000000000,638645902780054742,0</v>
    <v>3</v>
    <v>a1sfkr</v>
    <v>ARCX:EWJ</v>
    <v>149</v>
  </rv>
  <rv s="8">
    <v>22</v>
    <v>SPEM</v>
    <v>Daily</v>
    <v>45579</v>
    <v>45579</v>
    <v>0</v>
    <v>1</v>
    <v>638644608000000000,638645902776963894,0</v>
    <v>0</v>
    <v>a23cu2</v>
    <v>ARCX:SPEM</v>
    <v>150</v>
  </rv>
  <rv s="8">
    <v>22</v>
    <v>SPEM</v>
    <v>Daily</v>
    <v>45565</v>
    <v>45565</v>
    <v>0</v>
    <v>1</v>
    <v>638632512000000000,638645902779471006,0</v>
    <v>0</v>
    <v>a23cu2</v>
    <v>ARCX:SPEM</v>
    <v>151</v>
  </rv>
  <rv s="8">
    <v>22</v>
    <v>SPEM</v>
    <v>Daily</v>
    <v>45576</v>
    <v>45576</v>
    <v>0</v>
    <v>1</v>
    <v>638642016000000000,638645902779690045,0</v>
    <v>0</v>
    <v>a23cu2</v>
    <v>ARCX:SPEM</v>
    <v>152</v>
  </rv>
  <rv s="8">
    <v>22</v>
    <v>SPEM</v>
    <v>Daily</v>
    <v>45541</v>
    <v>45580</v>
    <v>0</v>
    <v>1</v>
    <v>638644608000000000,638645902780167943,0</v>
    <v>3</v>
    <v>a23cu2</v>
    <v>ARCX:SPEM</v>
    <v>153</v>
  </rv>
  <rv s="8">
    <v>22</v>
    <v>NOBL</v>
    <v>Daily</v>
    <v>45565</v>
    <v>45565</v>
    <v>0</v>
    <v>1</v>
    <v>638632512000000000,638645902775924229,0</v>
    <v>0</v>
    <v>a1yndm</v>
    <v>BATS:NOBL</v>
    <v>154</v>
  </rv>
  <rv s="8">
    <v>22</v>
    <v>NOBL</v>
    <v>Daily</v>
    <v>45576</v>
    <v>45576</v>
    <v>0</v>
    <v>1</v>
    <v>638642016000000000,638645902777370042,0</v>
    <v>0</v>
    <v>a1yndm</v>
    <v>BATS:NOBL</v>
    <v>155</v>
  </rv>
  <rv s="8">
    <v>22</v>
    <v>NOBL</v>
    <v>Daily</v>
    <v>45579</v>
    <v>45579</v>
    <v>0</v>
    <v>1</v>
    <v>638644608000000000,638645902778950955,0</v>
    <v>0</v>
    <v>a1yndm</v>
    <v>BATS:NOBL</v>
    <v>156</v>
  </rv>
  <rv s="8">
    <v>22</v>
    <v>NOBL</v>
    <v>Daily</v>
    <v>45541</v>
    <v>45580</v>
    <v>0</v>
    <v>1</v>
    <v>638644608000000000,638645902779002865,0</v>
    <v>3</v>
    <v>a1yndm</v>
    <v>BATS:NOBL</v>
    <v>157</v>
  </rv>
  <rv s="8">
    <v>22</v>
    <v>IDEV</v>
    <v>Daily</v>
    <v>45579</v>
    <v>45579</v>
    <v>0</v>
    <v>1</v>
    <v>638644608000000000,638645902775617069,0</v>
    <v>0</v>
    <v>a1v9r7</v>
    <v>ARCX:IDEV</v>
    <v>158</v>
  </rv>
  <rv s="8">
    <v>22</v>
    <v>IDEV</v>
    <v>Daily</v>
    <v>45541</v>
    <v>45580</v>
    <v>0</v>
    <v>1</v>
    <v>638644608000000000,638645902777053954,0</v>
    <v>3</v>
    <v>a1v9r7</v>
    <v>ARCX:IDEV</v>
    <v>159</v>
  </rv>
  <rv s="8">
    <v>22</v>
    <v>IDEV</v>
    <v>Daily</v>
    <v>45565</v>
    <v>45565</v>
    <v>0</v>
    <v>1</v>
    <v>638632512000000000,638645902776284138,0</v>
    <v>0</v>
    <v>a1v9r7</v>
    <v>ARCX:IDEV</v>
    <v>160</v>
  </rv>
  <rv s="8">
    <v>22</v>
    <v>IDEV</v>
    <v>Daily</v>
    <v>45576</v>
    <v>45576</v>
    <v>0</v>
    <v>1</v>
    <v>638642016000000000,638645902778776380,0</v>
    <v>0</v>
    <v>a1v9r7</v>
    <v>ARCX:IDEV</v>
    <v>161</v>
  </rv>
  <rv s="8">
    <v>22</v>
    <v>GLD</v>
    <v>Daily</v>
    <v>45576</v>
    <v>45576</v>
    <v>0</v>
    <v>1</v>
    <v>638642016000000000,638645902776505949,0</v>
    <v>0</v>
    <v>a1twnm</v>
    <v>ARCX:GLD</v>
    <v>162</v>
  </rv>
  <rv s="8">
    <v>22</v>
    <v>GLD</v>
    <v>Daily</v>
    <v>45579</v>
    <v>45579</v>
    <v>0</v>
    <v>1</v>
    <v>638644608000000000,638645902777023668,0</v>
    <v>0</v>
    <v>a1twnm</v>
    <v>ARCX:GLD</v>
    <v>163</v>
  </rv>
  <rv s="8">
    <v>22</v>
    <v>GLD</v>
    <v>Daily</v>
    <v>45541</v>
    <v>45580</v>
    <v>0</v>
    <v>1</v>
    <v>638644608000000000,638645902779887763,0</v>
    <v>3</v>
    <v>a1twnm</v>
    <v>ARCX:GLD</v>
    <v>164</v>
  </rv>
  <rv s="8">
    <v>22</v>
    <v>GLD</v>
    <v>Daily</v>
    <v>45565</v>
    <v>45565</v>
    <v>0</v>
    <v>1</v>
    <v>638632512000000000,638645902779990629,0</v>
    <v>0</v>
    <v>a1twnm</v>
    <v>ARCX:GLD</v>
    <v>165</v>
  </rv>
  <rv s="8">
    <v>22</v>
    <v>IYW</v>
    <v>Daily</v>
    <v>45541</v>
    <v>45580</v>
    <v>0</v>
    <v>1</v>
    <v>638644608000000000,638645902778772660,0</v>
    <v>3</v>
    <v>a1vzpr</v>
    <v>ARCX:IYW</v>
    <v>166</v>
  </rv>
  <rv s="8">
    <v>22</v>
    <v>IYW</v>
    <v>Daily</v>
    <v>45579</v>
    <v>45579</v>
    <v>0</v>
    <v>1</v>
    <v>638644608000000000,638645902779628900,0</v>
    <v>0</v>
    <v>a1vzpr</v>
    <v>ARCX:IYW</v>
    <v>167</v>
  </rv>
  <rv s="8">
    <v>22</v>
    <v>IYW</v>
    <v>Daily</v>
    <v>45565</v>
    <v>45565</v>
    <v>0</v>
    <v>1</v>
    <v>638632512000000000,638645902780126712,0</v>
    <v>0</v>
    <v>a1vzpr</v>
    <v>ARCX:IYW</v>
    <v>168</v>
  </rv>
  <rv s="8">
    <v>22</v>
    <v>IYW</v>
    <v>Daily</v>
    <v>45576</v>
    <v>45576</v>
    <v>0</v>
    <v>1</v>
    <v>638642016000000000,638645902781036047,0</v>
    <v>0</v>
    <v>a1vzpr</v>
    <v>ARCX:IYW</v>
    <v>169</v>
  </rv>
  <rv s="8">
    <v>22</v>
    <v>VEU</v>
    <v>Daily</v>
    <v>45541</v>
    <v>45580</v>
    <v>0</v>
    <v>1</v>
    <v>638644608000000000,638645902776850169,0</v>
    <v>3</v>
    <v>a25acw</v>
    <v>ARCX:VEU</v>
    <v>170</v>
  </rv>
  <rv s="8">
    <v>22</v>
    <v>VEU</v>
    <v>Daily</v>
    <v>45579</v>
    <v>45579</v>
    <v>0</v>
    <v>1</v>
    <v>638644608000000000,638645902775794815,0</v>
    <v>0</v>
    <v>a25acw</v>
    <v>ARCX:VEU</v>
    <v>171</v>
  </rv>
  <rv s="8">
    <v>22</v>
    <v>VEU</v>
    <v>Daily</v>
    <v>45565</v>
    <v>45565</v>
    <v>0</v>
    <v>1</v>
    <v>638632512000000000,638645902778921089,0</v>
    <v>0</v>
    <v>a25acw</v>
    <v>ARCX:VEU</v>
    <v>172</v>
  </rv>
  <rv s="8">
    <v>22</v>
    <v>VEU</v>
    <v>Daily</v>
    <v>45576</v>
    <v>45576</v>
    <v>0</v>
    <v>1</v>
    <v>638642016000000000,638645902779558289,0</v>
    <v>0</v>
    <v>a25acw</v>
    <v>ARCX:VEU</v>
    <v>171</v>
  </rv>
  <rv s="8">
    <v>22</v>
    <v>URA</v>
    <v>Daily</v>
    <v>45541</v>
    <v>45580</v>
    <v>0</v>
    <v>1</v>
    <v>638644608000000000,638645902775707578,0</v>
    <v>3</v>
    <v>a24yz2</v>
    <v>ARCX:URA</v>
    <v>173</v>
  </rv>
  <rv s="8">
    <v>22</v>
    <v>URA</v>
    <v>Daily</v>
    <v>45579</v>
    <v>45579</v>
    <v>0</v>
    <v>1</v>
    <v>638644608000000000,638645902776579952,0</v>
    <v>0</v>
    <v>a24yz2</v>
    <v>ARCX:URA</v>
    <v>174</v>
  </rv>
  <rv s="8">
    <v>22</v>
    <v>URA</v>
    <v>Daily</v>
    <v>45576</v>
    <v>45576</v>
    <v>0</v>
    <v>1</v>
    <v>638642016000000000,638645902775912890,0</v>
    <v>0</v>
    <v>a24yz2</v>
    <v>ARCX:URA</v>
    <v>175</v>
  </rv>
  <rv s="8">
    <v>22</v>
    <v>URA</v>
    <v>Daily</v>
    <v>45565</v>
    <v>45565</v>
    <v>0</v>
    <v>1</v>
    <v>638632512000000000,638645902779721804,0</v>
    <v>0</v>
    <v>a24yz2</v>
    <v>ARCX:URA</v>
    <v>176</v>
  </rv>
  <rv s="8">
    <v>22</v>
    <v>VOO</v>
    <v>Daily</v>
    <v>45579</v>
    <v>45579</v>
    <v>0</v>
    <v>1</v>
    <v>638644608000000000,638645902776383149,0</v>
    <v>0</v>
    <v>a25hm7</v>
    <v>ARCX:VOO</v>
    <v>177</v>
  </rv>
  <rv s="8">
    <v>22</v>
    <v>VOO</v>
    <v>Daily</v>
    <v>45541</v>
    <v>45580</v>
    <v>0</v>
    <v>1</v>
    <v>638644608000000000,638645902776483760,0</v>
    <v>3</v>
    <v>a25hm7</v>
    <v>ARCX:VOO</v>
    <v>178</v>
  </rv>
  <rv s="8">
    <v>22</v>
    <v>VOO</v>
    <v>Daily</v>
    <v>45565</v>
    <v>45565</v>
    <v>0</v>
    <v>1</v>
    <v>638632512000000000,638645902775858792,0</v>
    <v>0</v>
    <v>a25hm7</v>
    <v>ARCX:VOO</v>
    <v>179</v>
  </rv>
  <rv s="8">
    <v>22</v>
    <v>VOO</v>
    <v>Daily</v>
    <v>45576</v>
    <v>45576</v>
    <v>0</v>
    <v>1</v>
    <v>638642016000000000,638645902777113279,0</v>
    <v>0</v>
    <v>a25hm7</v>
    <v>ARCX:VOO</v>
    <v>180</v>
  </rv>
  <rv s="8">
    <v>22</v>
    <v>GDX</v>
    <v>Daily</v>
    <v>45579</v>
    <v>45579</v>
    <v>0</v>
    <v>1</v>
    <v>638644608000000000,638645902776679518,0</v>
    <v>0</v>
    <v>a1tqp2</v>
    <v>ARCX:GDX</v>
    <v>181</v>
  </rv>
  <rv s="8">
    <v>22</v>
    <v>GDX</v>
    <v>Daily</v>
    <v>45541</v>
    <v>45580</v>
    <v>0</v>
    <v>1</v>
    <v>638644608000000000,638645902775693852,0</v>
    <v>3</v>
    <v>a1tqp2</v>
    <v>ARCX:GDX</v>
    <v>182</v>
  </rv>
  <rv s="8">
    <v>22</v>
    <v>GDX</v>
    <v>Daily</v>
    <v>45565</v>
    <v>45565</v>
    <v>0</v>
    <v>1</v>
    <v>638632512000000000,638645902781044084,0</v>
    <v>0</v>
    <v>a1tqp2</v>
    <v>ARCX:GDX</v>
    <v>183</v>
  </rv>
  <rv s="8">
    <v>22</v>
    <v>GDX</v>
    <v>Daily</v>
    <v>45576</v>
    <v>45576</v>
    <v>0</v>
    <v>1</v>
    <v>638642016000000000,638645902779550657,0</v>
    <v>0</v>
    <v>a1tqp2</v>
    <v>ARCX:GDX</v>
    <v>184</v>
  </rv>
  <rv s="8">
    <v>22</v>
    <v>MTUM</v>
    <v>Daily</v>
    <v>45576</v>
    <v>45576</v>
    <v>0</v>
    <v>1</v>
    <v>638642016000000000,638645902776394128,0</v>
    <v>0</v>
    <v>a1y4cw</v>
    <v>BATS:MTUM</v>
    <v>185</v>
  </rv>
  <rv s="8">
    <v>22</v>
    <v>MTUM</v>
    <v>Daily</v>
    <v>45565</v>
    <v>45565</v>
    <v>0</v>
    <v>1</v>
    <v>638632512000000000,638645902776507734,0</v>
    <v>0</v>
    <v>a1y4cw</v>
    <v>BATS:MTUM</v>
    <v>186</v>
  </rv>
  <rv s="8">
    <v>22</v>
    <v>MTUM</v>
    <v>Daily</v>
    <v>45579</v>
    <v>45579</v>
    <v>0</v>
    <v>1</v>
    <v>638644608000000000,638645902776846891,0</v>
    <v>0</v>
    <v>a1y4cw</v>
    <v>BATS:MTUM</v>
    <v>187</v>
  </rv>
  <rv s="8">
    <v>22</v>
    <v>MTUM</v>
    <v>Daily</v>
    <v>45541</v>
    <v>45580</v>
    <v>0</v>
    <v>1</v>
    <v>638644608000000000,638645902780351518,0</v>
    <v>3</v>
    <v>a1y4cw</v>
    <v>BATS:MTUM</v>
    <v>188</v>
  </rv>
  <rv s="8">
    <v>22</v>
    <v>VTV</v>
    <v>Daily</v>
    <v>45579</v>
    <v>45579</v>
    <v>0</v>
    <v>1</v>
    <v>638644608000000000,638645902775635791,0</v>
    <v>0</v>
    <v>a25ma2</v>
    <v>ARCX:VTV</v>
    <v>189</v>
  </rv>
  <rv s="8">
    <v>22</v>
    <v>VTV</v>
    <v>Daily</v>
    <v>45565</v>
    <v>45565</v>
    <v>0</v>
    <v>1</v>
    <v>638632512000000000,638645902779996631,0</v>
    <v>0</v>
    <v>a25ma2</v>
    <v>ARCX:VTV</v>
    <v>190</v>
  </rv>
  <rv s="8">
    <v>22</v>
    <v>VTV</v>
    <v>Daily</v>
    <v>45576</v>
    <v>45576</v>
    <v>0</v>
    <v>1</v>
    <v>638642016000000000,638645902779289734,0</v>
    <v>0</v>
    <v>a25ma2</v>
    <v>ARCX:VTV</v>
    <v>191</v>
  </rv>
  <rv s="8">
    <v>22</v>
    <v>VTV</v>
    <v>Daily</v>
    <v>45541</v>
    <v>45580</v>
    <v>0</v>
    <v>1</v>
    <v>638644608000000000,638645902780514371,0</v>
    <v>3</v>
    <v>a25ma2</v>
    <v>ARCX:VTV</v>
    <v>192</v>
  </rv>
  <rv s="8">
    <v>22</v>
    <v>IEF</v>
    <v>Daily</v>
    <v>45576</v>
    <v>45576</v>
    <v>0</v>
    <v>1</v>
    <v>638642016000000000,638645902775621765,0</v>
    <v>0</v>
    <v>a1vbbh</v>
    <v>XNAS:IEF</v>
    <v>193</v>
  </rv>
  <rv s="8">
    <v>22</v>
    <v>IEF</v>
    <v>Daily</v>
    <v>45565</v>
    <v>45565</v>
    <v>0</v>
    <v>1</v>
    <v>638632512000000000,638645902780265166,0</v>
    <v>0</v>
    <v>a1vbbh</v>
    <v>XNAS:IEF</v>
    <v>194</v>
  </rv>
  <rv s="8">
    <v>22</v>
    <v>IEF</v>
    <v>Daily</v>
    <v>45541</v>
    <v>45580</v>
    <v>0</v>
    <v>1</v>
    <v>638644608000000000,638645902779365314,0</v>
    <v>3</v>
    <v>a1vbbh</v>
    <v>XNAS:IEF</v>
    <v>195</v>
  </rv>
  <rv s="8">
    <v>22</v>
    <v>IEF</v>
    <v>Daily</v>
    <v>45579</v>
    <v>45579</v>
    <v>0</v>
    <v>1</v>
    <v>638644608000000000,638645902780350995,0</v>
    <v>0</v>
    <v>a1vbbh</v>
    <v>XNAS:IEF</v>
    <v>196</v>
  </rv>
  <rv s="8">
    <v>22</v>
    <v>VOOG</v>
    <v>Daily</v>
    <v>45541</v>
    <v>45580</v>
    <v>0</v>
    <v>1</v>
    <v>638644608000000000,638645902776680347,0</v>
    <v>3</v>
    <v>a25hp2</v>
    <v>ARCX:VOOG</v>
    <v>197</v>
  </rv>
  <rv s="8">
    <v>22</v>
    <v>VOOG</v>
    <v>Daily</v>
    <v>45565</v>
    <v>45565</v>
    <v>0</v>
    <v>1</v>
    <v>638632512000000000,638645902776206258,0</v>
    <v>0</v>
    <v>a25hp2</v>
    <v>ARCX:VOOG</v>
    <v>198</v>
  </rv>
  <rv s="8">
    <v>22</v>
    <v>VOOG</v>
    <v>Daily</v>
    <v>45579</v>
    <v>45579</v>
    <v>0</v>
    <v>1</v>
    <v>638644608000000000,638645902776703859,0</v>
    <v>0</v>
    <v>a25hp2</v>
    <v>ARCX:VOOG</v>
    <v>199</v>
  </rv>
  <rv s="8">
    <v>22</v>
    <v>VOOG</v>
    <v>Daily</v>
    <v>45576</v>
    <v>45576</v>
    <v>0</v>
    <v>1</v>
    <v>638642016000000000,638645902778930456,0</v>
    <v>0</v>
    <v>a25hp2</v>
    <v>ARCX:VOOG</v>
    <v>200</v>
  </rv>
  <rv s="8">
    <v>22</v>
    <v>SOXX</v>
    <v>Daily</v>
    <v>45576</v>
    <v>45576</v>
    <v>0</v>
    <v>1</v>
    <v>638642016000000000,638645902776010920,0</v>
    <v>0</v>
    <v>a23bxm</v>
    <v>XNAS:SOXX</v>
    <v>201</v>
  </rv>
  <rv s="8">
    <v>22</v>
    <v>SOXX</v>
    <v>Daily</v>
    <v>45565</v>
    <v>45565</v>
    <v>0</v>
    <v>1</v>
    <v>638632512000000000,638645902776748901,0</v>
    <v>0</v>
    <v>a23bxm</v>
    <v>XNAS:SOXX</v>
    <v>202</v>
  </rv>
  <rv s="8">
    <v>22</v>
    <v>SOXX</v>
    <v>Daily</v>
    <v>45579</v>
    <v>45579</v>
    <v>0</v>
    <v>1</v>
    <v>638644608000000000,638645902775732144,0</v>
    <v>0</v>
    <v>a23bxm</v>
    <v>XNAS:SOXX</v>
    <v>203</v>
  </rv>
  <rv s="8">
    <v>22</v>
    <v>SOXX</v>
    <v>Daily</v>
    <v>45541</v>
    <v>45580</v>
    <v>0</v>
    <v>1</v>
    <v>638644608000000000,638645902780170804,0</v>
    <v>3</v>
    <v>a23bxm</v>
    <v>XNAS:SOXX</v>
    <v>204</v>
  </rv>
  <rv s="8">
    <v>22</v>
    <v>SIL</v>
    <v>Daily</v>
    <v>45541</v>
    <v>45580</v>
    <v>0</v>
    <v>1</v>
    <v>638644608000000000,638645902776095865,0</v>
    <v>3</v>
    <v>a22yp2</v>
    <v>ARCX:SIL</v>
    <v>205</v>
  </rv>
  <rv s="8">
    <v>22</v>
    <v>SIL</v>
    <v>Daily</v>
    <v>45579</v>
    <v>45579</v>
    <v>0</v>
    <v>1</v>
    <v>638644608000000000,638645902776862483,0</v>
    <v>0</v>
    <v>a22yp2</v>
    <v>ARCX:SIL</v>
    <v>206</v>
  </rv>
  <rv s="8">
    <v>22</v>
    <v>SIL</v>
    <v>Daily</v>
    <v>45565</v>
    <v>45565</v>
    <v>0</v>
    <v>1</v>
    <v>638632512000000000,638645902779616651,0</v>
    <v>0</v>
    <v>a22yp2</v>
    <v>ARCX:SIL</v>
    <v>207</v>
  </rv>
  <rv s="8">
    <v>22</v>
    <v>SIL</v>
    <v>Daily</v>
    <v>45576</v>
    <v>45576</v>
    <v>0</v>
    <v>1</v>
    <v>638642016000000000,638645902779441137,0</v>
    <v>0</v>
    <v>a22yp2</v>
    <v>ARCX:SIL</v>
    <v>208</v>
  </rv>
  <rv s="8">
    <v>22</v>
    <v>OIH</v>
    <v>Daily</v>
    <v>45541</v>
    <v>45580</v>
    <v>0</v>
    <v>1</v>
    <v>638644608000000000,638645902779429130,0</v>
    <v>3</v>
    <v>a1z5r7</v>
    <v>ARCX:OIH</v>
    <v>209</v>
  </rv>
  <rv s="8">
    <v>22</v>
    <v>OIH</v>
    <v>Daily</v>
    <v>45579</v>
    <v>45579</v>
    <v>0</v>
    <v>1</v>
    <v>638644608000000000,638645902779107409,0</v>
    <v>0</v>
    <v>a1z5r7</v>
    <v>ARCX:OIH</v>
    <v>210</v>
  </rv>
  <rv s="8">
    <v>22</v>
    <v>OIH</v>
    <v>Daily</v>
    <v>45565</v>
    <v>45565</v>
    <v>0</v>
    <v>1</v>
    <v>638632512000000000,638645902779797517,0</v>
    <v>0</v>
    <v>a1z5r7</v>
    <v>ARCX:OIH</v>
    <v>211</v>
  </rv>
  <rv s="8">
    <v>22</v>
    <v>OIH</v>
    <v>Daily</v>
    <v>45576</v>
    <v>45576</v>
    <v>0</v>
    <v>1</v>
    <v>638642016000000000,638645902780315243,0</v>
    <v>0</v>
    <v>a1z5r7</v>
    <v>ARCX:OIH</v>
    <v>212</v>
  </rv>
  <rv s="8">
    <v>22</v>
    <v>KWEB</v>
    <v>Daily</v>
    <v>45541</v>
    <v>45580</v>
    <v>0</v>
    <v>1</v>
    <v>638644608000000000,638645902776185242,0</v>
    <v>3</v>
    <v>aw2enm</v>
    <v>ARCX:KWEB</v>
    <v>213</v>
  </rv>
  <rv s="8">
    <v>22</v>
    <v>KWEB</v>
    <v>Daily</v>
    <v>45565</v>
    <v>45565</v>
    <v>0</v>
    <v>1</v>
    <v>638632512000000000,638645902779827107,0</v>
    <v>0</v>
    <v>aw2enm</v>
    <v>ARCX:KWEB</v>
    <v>214</v>
  </rv>
  <rv s="8">
    <v>22</v>
    <v>KWEB</v>
    <v>Daily</v>
    <v>45579</v>
    <v>45579</v>
    <v>0</v>
    <v>1</v>
    <v>638644608000000000,638645902778940999,0</v>
    <v>0</v>
    <v>aw2enm</v>
    <v>ARCX:KWEB</v>
    <v>215</v>
  </rv>
  <rv s="8">
    <v>22</v>
    <v>KWEB</v>
    <v>Daily</v>
    <v>45576</v>
    <v>45576</v>
    <v>0</v>
    <v>1</v>
    <v>638642016000000000,638645902780137864,0</v>
    <v>0</v>
    <v>aw2enm</v>
    <v>ARCX:KWEB</v>
    <v>216</v>
  </rv>
  <rv s="8">
    <v>22</v>
    <v>USO</v>
    <v>Daily</v>
    <v>45541</v>
    <v>45580</v>
    <v>0</v>
    <v>1</v>
    <v>638644608000000000,638645924730790542,0</v>
    <v>3</v>
    <v>a253hw</v>
    <v>ARCX:USO</v>
    <v>217</v>
  </rv>
  <rv s="8">
    <v>22</v>
    <v>USO</v>
    <v>Daily</v>
    <v>45579</v>
    <v>45579</v>
    <v>0</v>
    <v>1</v>
    <v>638644608000000000,638645924730969754,0</v>
    <v>0</v>
    <v>a253hw</v>
    <v>ARCX:USO</v>
    <v>218</v>
  </rv>
  <rv s="8">
    <v>22</v>
    <v>USO</v>
    <v>Daily</v>
    <v>45565</v>
    <v>45565</v>
    <v>0</v>
    <v>1</v>
    <v>638632512000000000,638645924731139006,0</v>
    <v>0</v>
    <v>a253hw</v>
    <v>ARCX:USO</v>
    <v>158</v>
  </rv>
  <rv s="8">
    <v>22</v>
    <v>USO</v>
    <v>Daily</v>
    <v>45576</v>
    <v>45576</v>
    <v>0</v>
    <v>1</v>
    <v>638642016000000000,638645924731321068,0</v>
    <v>0</v>
    <v>a253hw</v>
    <v>ARCX:USO</v>
    <v>219</v>
  </rv>
</rvData>
</file>

<file path=xl/richData/rdrichvaluestructure.xml><?xml version="1.0" encoding="utf-8"?>
<rvStructures xmlns="http://schemas.microsoft.com/office/spreadsheetml/2017/richdata" count="9">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52-Wochen-Hoch"/>
    <k n="52-Wochen-Tief"/>
    <k n="Änderung"/>
    <k n="Änderung (%)"/>
    <k n="Beta"/>
    <k n="Börsenwert"/>
    <k n="Exchange" t="s"/>
    <k n="Exchange-Abkürzung" t="s"/>
    <k n="Hoch"/>
    <k n="Instrumententyp" t="s"/>
    <k n="Kostenquote"/>
    <k n="LearnMoreOnLink" t="r"/>
    <k n="Letzte Handelszeit"/>
    <k n="Name" t="s"/>
    <k n="Niedrig"/>
    <k n="Öffnen"/>
    <k n="Preis"/>
    <k n="Schlusskurs des Vortags"/>
    <k n="Ticker-Symbol" t="s"/>
    <k n="UniqueName" t="s"/>
    <k n="Volumen"/>
    <k n="Volumendurchschnitt"/>
    <k n="Währung" t="s"/>
  </s>
  <s t="_linkedentity">
    <k n="%cvi" t="r"/>
  </s>
  <s t="_formattednumber">
    <k n="_Format" t="spb"/>
  </s>
  <s t="_linkedentitycore">
    <k n="%EntityCulture" t="s"/>
    <k n="%EntityId" t="s"/>
    <k n="%EntityServiceId"/>
    <k n="%IsRefreshable" t="b"/>
    <k n="%ProviderInfo" t="s"/>
    <k n="_CanonicalPropertyNames" t="spb"/>
    <k n="_Display" t="spb"/>
    <k n="_DisplayString" t="s"/>
    <k n="_Flags" t="spb"/>
    <k n="_Format" t="spb"/>
    <k n="_Icon" t="s"/>
    <k n="_SubLabel" t="spb"/>
    <k n="52-Wochen-Hoch"/>
    <k n="52-Wochen-Tief"/>
    <k n="Änderung"/>
    <k n="Änderung (%)"/>
    <k n="Börsenwert"/>
    <k n="Exchange" t="s"/>
    <k n="Exchange-Abkürzung" t="s"/>
    <k n="Hoch"/>
    <k n="Instrumententyp" t="s"/>
    <k n="Kostenquote"/>
    <k n="Letzte Handelszeit"/>
    <k n="Name" t="s"/>
    <k n="Niedrig"/>
    <k n="Öffnen"/>
    <k n="Preis"/>
    <k n="Schlusskurs des Vortags"/>
    <k n="Ticker-Symbol" t="s"/>
    <k n="UniqueName" t="s"/>
    <k n="Volumen"/>
    <k n="Volumendurchschnitt"/>
    <k n="Währung" t="s"/>
  </s>
  <s t="_linkedentitycore">
    <k n="%EntityCulture" t="s"/>
    <k n="%EntityId" t="s"/>
    <k n="%EntityServiceId"/>
    <k n="%IsRefreshable" t="b"/>
    <k n="%ProviderInfo" t="s"/>
    <k n="_CanonicalPropertyNames" t="spb"/>
    <k n="_Display" t="spb"/>
    <k n="_DisplayString" t="s"/>
    <k n="_Flags" t="spb"/>
    <k n="_Format" t="spb"/>
    <k n="_Icon" t="s"/>
    <k n="_SubLabel" t="spb"/>
    <k n="52-Wochen-Hoch"/>
    <k n="52-Wochen-Tief"/>
    <k n="Änderung"/>
    <k n="Änderung (%)"/>
    <k n="Beschreibung" t="s"/>
    <k n="Exchange" t="s"/>
    <k n="Exchange-Abkürzung" t="s"/>
    <k n="ExchangeID" t="s"/>
    <k n="Hauptsitz" t="s"/>
    <k n="Hoch"/>
    <k n="Instrumententyp" t="s"/>
    <k n="KGV"/>
    <k n="LearnMoreOnLink" t="r"/>
    <k n="Letzte Handelszeit"/>
    <k n="Name" t="s"/>
    <k n="Niedrig"/>
    <k n="Offizieller Name" t="s"/>
    <k n="Öffnen"/>
    <k n="Preis"/>
    <k n="Schlusskurs des Vortags"/>
    <k n="Ticker-Symbol" t="s"/>
    <k n="UniqueName" t="s"/>
    <k n="Volumen"/>
    <k n="Volumendurchschnitt"/>
    <k n="Währung" t="s"/>
  </s>
  <s t="_linkedentitycore">
    <k n="%EntityCulture" t="s"/>
    <k n="%EntityId" t="s"/>
    <k n="%EntityServiceId"/>
    <k n="%IsRefreshable" t="b"/>
    <k n="%ProviderInfo" t="s"/>
    <k n="_CanonicalPropertyNames" t="spb"/>
    <k n="_Display" t="spb"/>
    <k n="_DisplayString" t="s"/>
    <k n="_Flags" t="spb"/>
    <k n="_Format" t="spb"/>
    <k n="_Icon" t="s"/>
    <k n="_SubLabel" t="spb"/>
    <k n="52-Wochen-Hoch"/>
    <k n="52-Wochen-Tief"/>
    <k n="Änderung"/>
    <k n="Änderung (%)"/>
    <k n="Ausstehende Aktien"/>
    <k n="Beschreibung" t="s"/>
    <k n="Beta"/>
    <k n="Börsenwert"/>
    <k n="Exchange" t="s"/>
    <k n="Exchange-Abkürzung" t="s"/>
    <k n="ExchangeID" t="s"/>
    <k n="Hauptsitz" t="s"/>
    <k n="Hoch"/>
    <k n="Industrie" t="s"/>
    <k n="Instrumententyp" t="s"/>
    <k n="KGV"/>
    <k n="LearnMoreOnLink" t="r"/>
    <k n="Letzte Handelszeit"/>
    <k n="Mitarbeitende"/>
    <k n="Name" t="s"/>
    <k n="Niedrig"/>
    <k n="Offizieller Name" t="s"/>
    <k n="Öffnen"/>
    <k n="Preis"/>
    <k n="Schlusskurs des Vortags"/>
    <k n="Ticker-Symbol" t="s"/>
    <k n="UniqueName" t="s"/>
    <k n="Unternehmensgründungsjahr"/>
    <k n="Volumen"/>
    <k n="Volumendurchschnitt"/>
    <k n="Währung" t="s"/>
  </s>
  <s t="_error">
    <k n="errorType" t="i"/>
    <k n="field" t="s"/>
    <k n="subType" t="i"/>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4">
    <a count="35">
      <v t="s">%EntityServiceId</v>
      <v t="s">_Format</v>
      <v t="s">%IsRefreshable</v>
      <v t="s">_CanonicalPropertyNames</v>
      <v t="s">%EntityCulture</v>
      <v t="s">%EntityId</v>
      <v t="s">_Icon</v>
      <v t="s">_Display</v>
      <v t="s">Name</v>
      <v t="s">_SubLabel</v>
      <v t="s">Preis</v>
      <v t="s">Exchange</v>
      <v t="s">Letzte Handelszeit</v>
      <v t="s">Ticker-Symbol</v>
      <v t="s">Exchange-Abkürzung</v>
      <v t="s">Änderung</v>
      <v t="s">Kostenquote</v>
      <v t="s">Änderung (%)</v>
      <v t="s">Währung</v>
      <v t="s">Schlusskurs des Vortags</v>
      <v t="s">Öffnen</v>
      <v t="s">Hoch</v>
      <v t="s">Niedrig</v>
      <v t="s">52-Wochen-Hoch</v>
      <v t="s">52-Wochen-Tief</v>
      <v t="s">Volumen</v>
      <v t="s">Volumendurchschnitt</v>
      <v t="s">Börsenwert</v>
      <v t="s">Beta</v>
      <v t="s">Instrumententyp</v>
      <v t="s">_Flags</v>
      <v t="s">UniqueName</v>
      <v t="s">_DisplayString</v>
      <v t="s">LearnMoreOnLink</v>
      <v t="s">%ProviderInfo</v>
    </a>
    <a count="33">
      <v t="s">%EntityServiceId</v>
      <v t="s">_Format</v>
      <v t="s">%IsRefreshable</v>
      <v t="s">_CanonicalPropertyNames</v>
      <v t="s">%EntityCulture</v>
      <v t="s">%EntityId</v>
      <v t="s">_Icon</v>
      <v t="s">_Display</v>
      <v t="s">Name</v>
      <v t="s">_SubLabel</v>
      <v t="s">Preis</v>
      <v t="s">Exchange</v>
      <v t="s">Letzte Handelszeit</v>
      <v t="s">Ticker-Symbol</v>
      <v t="s">Exchange-Abkürzung</v>
      <v t="s">Änderung</v>
      <v t="s">Kostenquote</v>
      <v t="s">Änderung (%)</v>
      <v t="s">Währung</v>
      <v t="s">Schlusskurs des Vortags</v>
      <v t="s">Öffnen</v>
      <v t="s">Hoch</v>
      <v t="s">Niedrig</v>
      <v t="s">52-Wochen-Hoch</v>
      <v t="s">52-Wochen-Tief</v>
      <v t="s">Volumen</v>
      <v t="s">Volumendurchschnitt</v>
      <v t="s">Börsenwert</v>
      <v t="s">Instrumententyp</v>
      <v t="s">_Flags</v>
      <v t="s">UniqueName</v>
      <v t="s">_DisplayString</v>
      <v t="s">%ProviderInfo</v>
    </a>
    <a count="37">
      <v t="s">%EntityServiceId</v>
      <v t="s">_Format</v>
      <v t="s">%IsRefreshable</v>
      <v t="s">_CanonicalPropertyNames</v>
      <v t="s">%EntityCulture</v>
      <v t="s">%EntityId</v>
      <v t="s">_Icon</v>
      <v t="s">_Display</v>
      <v t="s">Name</v>
      <v t="s">_SubLabel</v>
      <v t="s">Preis</v>
      <v t="s">Exchange</v>
      <v t="s">Offizieller Name</v>
      <v t="s">Letzte Handelszeit</v>
      <v t="s">Ticker-Symbol</v>
      <v t="s">Exchange-Abkürzung</v>
      <v t="s">Änderung</v>
      <v t="s">Änderung (%)</v>
      <v t="s">Währung</v>
      <v t="s">Schlusskurs des Vortags</v>
      <v t="s">Öffnen</v>
      <v t="s">Hoch</v>
      <v t="s">Niedrig</v>
      <v t="s">52-Wochen-Hoch</v>
      <v t="s">52-Wochen-Tief</v>
      <v t="s">Volumen</v>
      <v t="s">Volumendurchschnitt</v>
      <v t="s">KGV</v>
      <v t="s">Beschreibung</v>
      <v t="s">Hauptsitz</v>
      <v t="s">Instrumententyp</v>
      <v t="s">_Flags</v>
      <v t="s">UniqueName</v>
      <v t="s">_DisplayString</v>
      <v t="s">LearnMoreOnLink</v>
      <v t="s">ExchangeID</v>
      <v t="s">%ProviderInfo</v>
    </a>
    <a count="43">
      <v t="s">%EntityServiceId</v>
      <v t="s">_Format</v>
      <v t="s">%IsRefreshable</v>
      <v t="s">_CanonicalPropertyNames</v>
      <v t="s">%EntityCulture</v>
      <v t="s">%EntityId</v>
      <v t="s">_Icon</v>
      <v t="s">_Display</v>
      <v t="s">Name</v>
      <v t="s">_SubLabel</v>
      <v t="s">Preis</v>
      <v t="s">Exchange</v>
      <v t="s">Offizieller Name</v>
      <v t="s">Letzte Handelszeit</v>
      <v t="s">Ticker-Symbol</v>
      <v t="s">Exchange-Abkürzung</v>
      <v t="s">Änderung</v>
      <v t="s">Änderung (%)</v>
      <v t="s">Währung</v>
      <v t="s">Schlusskurs des Vortags</v>
      <v t="s">Öffnen</v>
      <v t="s">Hoch</v>
      <v t="s">Niedrig</v>
      <v t="s">52-Wochen-Hoch</v>
      <v t="s">52-Wochen-Tief</v>
      <v t="s">Volumen</v>
      <v t="s">Volumendurchschnitt</v>
      <v t="s">Börsenwert</v>
      <v t="s">Beta</v>
      <v t="s">KGV</v>
      <v t="s">Ausstehende Aktien</v>
      <v t="s">Beschreibung</v>
      <v t="s">Mitarbeitende</v>
      <v t="s">Hauptsitz</v>
      <v t="s">Industrie</v>
      <v t="s">Instrumententyp</v>
      <v t="s">Unternehmensgründungsjahr</v>
      <v t="s">_Flags</v>
      <v t="s">UniqueName</v>
      <v t="s">_DisplayString</v>
      <v t="s">LearnMoreOnLink</v>
      <v t="s">ExchangeID</v>
      <v t="s">%ProviderInfo</v>
    </a>
  </spbArrays>
  <spbData count="23">
    <spb s="0">
      <v>Beta</v>
      <v>High</v>
      <v>Name</v>
      <v>Price</v>
      <v>Open</v>
      <v>Low</v>
      <v>Volume</v>
      <v>Currency</v>
      <v>Exchange</v>
      <v>Change</v>
      <v>Market cap</v>
      <v>UniqueName</v>
      <v>Expense ratio</v>
      <v>Change (%)</v>
      <v>%ProviderInfo</v>
      <v>Ticker symbol</v>
      <v>52 week high</v>
      <v>52 week low</v>
      <v>Instrument type</v>
      <v>LearnMoreOnLink</v>
      <v>Exchange abbreviation</v>
      <v>Last trade time</v>
      <v>Volume average</v>
      <v>Previous close</v>
    </spb>
    <spb s="1">
      <v>0</v>
      <v>Name</v>
      <v>LearnMoreOnLink</v>
    </spb>
    <spb s="2">
      <v>0</v>
      <v>0</v>
      <v>0</v>
    </spb>
    <spb s="3">
      <v>2</v>
      <v>2</v>
      <v>2</v>
    </spb>
    <spb s="4">
      <v>1</v>
      <v>2</v>
      <v>3</v>
      <v>2</v>
      <v>2</v>
      <v>4</v>
      <v>2</v>
      <v>2</v>
      <v>5</v>
      <v>6</v>
      <v>6</v>
      <v>2</v>
      <v>2</v>
      <v>7</v>
      <v>8</v>
      <v>4</v>
      <v>2</v>
    </spb>
    <spb s="5">
      <v>Echtzeit  Nasdaq Letzter Verkauf</v>
      <v>Quelle: Nasdaq Letzter Verkauf</v>
      <v xml:space="preserve">seit der vorherigen Schließung </v>
      <v xml:space="preserve">seit der vorherigen Schließung </v>
      <v>GMT</v>
    </spb>
    <spb s="6">
      <v>2</v>
    </spb>
    <spb s="5">
      <v>15 Minuten verzögert</v>
      <v>Quelle: Nasdaq</v>
      <v xml:space="preserve">seit der vorherigen Schließung </v>
      <v xml:space="preserve">seit der vorherigen Schließung </v>
      <v>GMT</v>
    </spb>
    <spb s="7">
      <v>High</v>
      <v>Name</v>
      <v>Price</v>
      <v>Open</v>
      <v>Low</v>
      <v>Volume</v>
      <v>Currency</v>
      <v>Exchange</v>
      <v>Change</v>
      <v>Market cap</v>
      <v>UniqueName</v>
      <v>Expense ratio</v>
      <v>Change (%)</v>
      <v>%ProviderInfo</v>
      <v>Ticker symbol</v>
      <v>52 week high</v>
      <v>52 week low</v>
      <v>Instrument type</v>
      <v>Exchange abbreviation</v>
      <v>Last trade time</v>
      <v>Volume average</v>
      <v>Previous close</v>
    </spb>
    <spb s="8">
      <v>1</v>
      <v>Name</v>
    </spb>
    <spb s="9">
      <v>2</v>
      <v>2</v>
    </spb>
    <spb s="10">
      <v>2</v>
      <v>3</v>
      <v>2</v>
      <v>2</v>
      <v>4</v>
      <v>2</v>
      <v>2</v>
      <v>5</v>
      <v>6</v>
      <v>6</v>
      <v>2</v>
      <v>2</v>
      <v>7</v>
      <v>8</v>
      <v>4</v>
      <v>2</v>
    </spb>
    <spb s="11">
      <v>P/E</v>
      <v>High</v>
      <v>Name</v>
      <v>Price</v>
      <v>Open</v>
      <v>Low</v>
      <v>Volume</v>
      <v>Currency</v>
      <v>Exchange</v>
      <v>Change</v>
      <v>Headquarters</v>
      <v>ExchangeID</v>
      <v>UniqueName</v>
      <v>Description</v>
      <v>Change (%)</v>
      <v>%ProviderInfo</v>
      <v>Ticker symbol</v>
      <v>52 week high</v>
      <v>52 week low</v>
      <v>Instrument type</v>
      <v>LearnMoreOnLink</v>
      <v>Official name</v>
      <v>Exchange abbreviation</v>
      <v>Last trade time</v>
      <v>Volume average</v>
      <v>Previous close</v>
    </spb>
    <spb s="1">
      <v>2</v>
      <v>Name</v>
      <v>LearnMoreOnLink</v>
    </spb>
    <spb s="12">
      <v>2</v>
      <v>2</v>
      <v>2</v>
      <v>2</v>
    </spb>
    <spb s="13">
      <v>1</v>
      <v>2</v>
      <v>3</v>
      <v>2</v>
      <v>2</v>
      <v>4</v>
      <v>2</v>
      <v>2</v>
      <v>6</v>
      <v>2</v>
      <v>2</v>
      <v>7</v>
      <v>8</v>
      <v>4</v>
      <v>2</v>
    </spb>
    <spb s="14">
      <v>Echtzeit  Nasdaq Letzter Verkauf</v>
      <v xml:space="preserve">seit der vorherigen Schließung </v>
      <v>Quelle: Nasdaq Letzter Verkauf</v>
      <v xml:space="preserve">seit der vorherigen Schließung </v>
      <v>GMT</v>
    </spb>
    <spb s="15">
      <v>BATS BZX Echtzeit  Letzter Preis</v>
      <v xml:space="preserve">seit der vorherigen Schließung </v>
      <v xml:space="preserve">seit der vorherigen Schließung </v>
      <v>GMT</v>
    </spb>
    <spb s="16">
      <v>P/E</v>
      <v>Beta</v>
      <v>High</v>
      <v>Name</v>
      <v>Price</v>
      <v>Open</v>
      <v>Low</v>
      <v>Volume</v>
      <v>Currency</v>
      <v>Exchange</v>
      <v>Change</v>
      <v>Headquarters</v>
      <v>Industry</v>
      <v>Market cap</v>
      <v>ExchangeID</v>
      <v>UniqueName</v>
      <v>Description</v>
      <v>Change (%)</v>
      <v>%ProviderInfo</v>
      <v>Employees</v>
      <v>Ticker symbol</v>
      <v>52 week high</v>
      <v>52 week low</v>
      <v>Instrument type</v>
      <v>LearnMoreOnLink</v>
      <v>Official name</v>
      <v>Shares outstanding</v>
      <v>Exchange abbreviation</v>
      <v>Last trade time</v>
      <v>Volume average</v>
      <v>Previous close</v>
      <v>Year incorporated</v>
    </spb>
    <spb s="1">
      <v>3</v>
      <v>Name</v>
      <v>LearnMoreOnLink</v>
    </spb>
    <spb s="17">
      <v>1</v>
      <v>1</v>
      <v>9</v>
      <v>3</v>
      <v>9</v>
      <v>9</v>
      <v>4</v>
      <v>9</v>
      <v>9</v>
      <v>10</v>
      <v>4</v>
      <v>6</v>
      <v>9</v>
      <v>9</v>
      <v>7</v>
      <v>4</v>
      <v>8</v>
      <v>4</v>
      <v>9</v>
      <v>11</v>
    </spb>
    <spb s="15">
      <v>Tagesende</v>
      <v xml:space="preserve">seit der vorherigen Schließung </v>
      <v xml:space="preserve">seit der vorherigen Schließung </v>
      <v>GMT</v>
    </spb>
    <spb s="18">
      <v>12</v>
      <v>2</v>
    </spb>
  </spbData>
</supportingPropertyBags>
</file>

<file path=xl/richData/rdsupportingpropertybagstructure.xml><?xml version="1.0" encoding="utf-8"?>
<spbStructures xmlns="http://schemas.microsoft.com/office/spreadsheetml/2017/richdata2" count="19">
  <s>
    <k n="Beta" t="s"/>
    <k n="Hoch" t="s"/>
    <k n="Name" t="s"/>
    <k n="Preis" t="s"/>
    <k n="Öffnen" t="s"/>
    <k n="Niedrig" t="s"/>
    <k n="Volumen" t="s"/>
    <k n="Währung" t="s"/>
    <k n="Exchange" t="s"/>
    <k n="Änderung" t="s"/>
    <k n="Börsenwert" t="s"/>
    <k n="UniqueName" t="s"/>
    <k n="Kostenquote" t="s"/>
    <k n="Änderung (%)" t="s"/>
    <k n="%ProviderInfo" t="s"/>
    <k n="Ticker-Symbol" t="s"/>
    <k n="52-Wochen-Hoch" t="s"/>
    <k n="52-Wochen-Tief" t="s"/>
    <k n="Instrumententyp" t="s"/>
    <k n="LearnMoreOnLink" t="s"/>
    <k n="Exchange-Abkürzung" t="s"/>
    <k n="Letzte Handelszeit" t="s"/>
    <k n="Volumendurchschnitt" t="s"/>
    <k n="Schlusskurs des Vortags" t="s"/>
  </s>
  <s>
    <k n="^Order" t="spba"/>
    <k n="TitleProperty" t="s"/>
    <k n="SubTitleProperty" t="s"/>
  </s>
  <s>
    <k n="ShowInCardView" t="b"/>
    <k n="ShowInDotNotation" t="b"/>
    <k n="ShowInAutoComplete" t="b"/>
  </s>
  <s>
    <k n="UniqueName" t="spb"/>
    <k n="`%ProviderInfo" t="spb"/>
    <k n="LearnMoreOnLink" t="spb"/>
  </s>
  <s>
    <k n="Beta" t="i"/>
    <k n="Hoch" t="i"/>
    <k n="Name" t="i"/>
    <k n="Preis" t="i"/>
    <k n="Niedrig" t="i"/>
    <k n="Volumen" t="i"/>
    <k n="`Öffnen" t="i"/>
    <k n="`Änderung" t="i"/>
    <k n="Börsenwert" t="i"/>
    <k n="Kostenquote" t="i"/>
    <k n="`Änderung (%)" t="i"/>
    <k n="52-Wochen-Hoch" t="i"/>
    <k n="52-Wochen-Tief" t="i"/>
    <k n="`%EntityServiceId" t="i"/>
    <k n="Letzte Handelszeit" t="i"/>
    <k n="Volumendurchschnitt" t="i"/>
    <k n="Schlusskurs des Vortags" t="i"/>
  </s>
  <s>
    <k n="Preis" t="s"/>
    <k n="Exchange" t="s"/>
    <k n="`Änderung" t="s"/>
    <k n="`Änderung (%)" t="s"/>
    <k n="Letzte Handelszeit" t="s"/>
  </s>
  <s>
    <k n="_Self" t="i"/>
  </s>
  <s>
    <k n="Hoch" t="s"/>
    <k n="Name" t="s"/>
    <k n="Preis" t="s"/>
    <k n="Öffnen" t="s"/>
    <k n="Niedrig" t="s"/>
    <k n="Volumen" t="s"/>
    <k n="Währung" t="s"/>
    <k n="Exchange" t="s"/>
    <k n="Änderung" t="s"/>
    <k n="Börsenwert" t="s"/>
    <k n="UniqueName" t="s"/>
    <k n="Kostenquote" t="s"/>
    <k n="Änderung (%)" t="s"/>
    <k n="%ProviderInfo" t="s"/>
    <k n="Ticker-Symbol" t="s"/>
    <k n="52-Wochen-Hoch" t="s"/>
    <k n="52-Wochen-Tief" t="s"/>
    <k n="Instrumententyp" t="s"/>
    <k n="Exchange-Abkürzung" t="s"/>
    <k n="Letzte Handelszeit" t="s"/>
    <k n="Volumendurchschnitt" t="s"/>
    <k n="Schlusskurs des Vortags" t="s"/>
  </s>
  <s>
    <k n="^Order" t="spba"/>
    <k n="TitleProperty" t="s"/>
  </s>
  <s>
    <k n="UniqueName" t="spb"/>
    <k n="`%ProviderInfo" t="spb"/>
  </s>
  <s>
    <k n="Hoch" t="i"/>
    <k n="Name" t="i"/>
    <k n="Preis" t="i"/>
    <k n="Niedrig" t="i"/>
    <k n="Volumen" t="i"/>
    <k n="`Öffnen" t="i"/>
    <k n="`Änderung" t="i"/>
    <k n="Börsenwert" t="i"/>
    <k n="Kostenquote" t="i"/>
    <k n="`Änderung (%)" t="i"/>
    <k n="52-Wochen-Hoch" t="i"/>
    <k n="52-Wochen-Tief" t="i"/>
    <k n="`%EntityServiceId" t="i"/>
    <k n="Letzte Handelszeit" t="i"/>
    <k n="Volumendurchschnitt" t="i"/>
    <k n="Schlusskurs des Vortags" t="i"/>
  </s>
  <s>
    <k n="KGV" t="s"/>
    <k n="Hoch" t="s"/>
    <k n="Name" t="s"/>
    <k n="Preis" t="s"/>
    <k n="Öffnen" t="s"/>
    <k n="Niedrig" t="s"/>
    <k n="Volumen" t="s"/>
    <k n="Währung" t="s"/>
    <k n="Exchange" t="s"/>
    <k n="Änderung" t="s"/>
    <k n="Hauptsitz" t="s"/>
    <k n="ExchangeID" t="s"/>
    <k n="UniqueName" t="s"/>
    <k n="Beschreibung" t="s"/>
    <k n="Änderung (%)" t="s"/>
    <k n="%ProviderInfo" t="s"/>
    <k n="Ticker-Symbol" t="s"/>
    <k n="52-Wochen-Hoch" t="s"/>
    <k n="52-Wochen-Tief" t="s"/>
    <k n="Instrumententyp" t="s"/>
    <k n="LearnMoreOnLink" t="s"/>
    <k n="Offizieller Name" t="s"/>
    <k n="Exchange-Abkürzung" t="s"/>
    <k n="Letzte Handelszeit" t="s"/>
    <k n="Volumendurchschnitt" t="s"/>
    <k n="Schlusskurs des Vortags" t="s"/>
  </s>
  <s>
    <k n="ExchangeID" t="spb"/>
    <k n="UniqueName" t="spb"/>
    <k n="`%ProviderInfo" t="spb"/>
    <k n="LearnMoreOnLink" t="spb"/>
  </s>
  <s>
    <k n="KGV" t="i"/>
    <k n="Hoch" t="i"/>
    <k n="Name" t="i"/>
    <k n="Preis" t="i"/>
    <k n="Niedrig" t="i"/>
    <k n="Volumen" t="i"/>
    <k n="`Öffnen" t="i"/>
    <k n="`Änderung" t="i"/>
    <k n="`Änderung (%)" t="i"/>
    <k n="52-Wochen-Hoch" t="i"/>
    <k n="52-Wochen-Tief" t="i"/>
    <k n="`%EntityServiceId" t="i"/>
    <k n="Letzte Handelszeit" t="i"/>
    <k n="Volumendurchschnitt" t="i"/>
    <k n="Schlusskurs des Vortags" t="i"/>
  </s>
  <s>
    <k n="Preis" t="s"/>
    <k n="`Änderung" t="s"/>
    <k n="ExchangeID" t="s"/>
    <k n="`Änderung (%)" t="s"/>
    <k n="Letzte Handelszeit" t="s"/>
  </s>
  <s>
    <k n="Preis" t="s"/>
    <k n="`Änderung" t="s"/>
    <k n="`Änderung (%)" t="s"/>
    <k n="Letzte Handelszeit" t="s"/>
  </s>
  <s>
    <k n="KGV" t="s"/>
    <k n="Beta" t="s"/>
    <k n="Hoch" t="s"/>
    <k n="Name" t="s"/>
    <k n="Preis" t="s"/>
    <k n="Öffnen" t="s"/>
    <k n="Niedrig" t="s"/>
    <k n="Volumen" t="s"/>
    <k n="Währung" t="s"/>
    <k n="Exchange" t="s"/>
    <k n="Änderung" t="s"/>
    <k n="Hauptsitz" t="s"/>
    <k n="Industrie" t="s"/>
    <k n="Börsenwert" t="s"/>
    <k n="ExchangeID" t="s"/>
    <k n="UniqueName" t="s"/>
    <k n="Beschreibung" t="s"/>
    <k n="Änderung (%)" t="s"/>
    <k n="%ProviderInfo" t="s"/>
    <k n="Mitarbeitende" t="s"/>
    <k n="Ticker-Symbol" t="s"/>
    <k n="52-Wochen-Hoch" t="s"/>
    <k n="52-Wochen-Tief" t="s"/>
    <k n="Instrumententyp" t="s"/>
    <k n="LearnMoreOnLink" t="s"/>
    <k n="Offizieller Name" t="s"/>
    <k n="Ausstehende Aktien" t="s"/>
    <k n="Exchange-Abkürzung" t="s"/>
    <k n="Letzte Handelszeit" t="s"/>
    <k n="Volumendurchschnitt" t="s"/>
    <k n="Schlusskurs des Vortags" t="s"/>
    <k n="Unternehmensgründungsjahr" t="s"/>
  </s>
  <s>
    <k n="KGV" t="i"/>
    <k n="Beta" t="i"/>
    <k n="Hoch" t="i"/>
    <k n="Name" t="i"/>
    <k n="Preis" t="i"/>
    <k n="Niedrig" t="i"/>
    <k n="Volumen" t="i"/>
    <k n="`Öffnen" t="i"/>
    <k n="`Änderung" t="i"/>
    <k n="Börsenwert" t="i"/>
    <k n="Mitarbeitende" t="i"/>
    <k n="`Änderung (%)" t="i"/>
    <k n="52-Wochen-Hoch" t="i"/>
    <k n="52-Wochen-Tief" t="i"/>
    <k n="`%EntityServiceId" t="i"/>
    <k n="Ausstehende Aktien" t="i"/>
    <k n="Letzte Handelszeit" t="i"/>
    <k n="Volumendurchschnitt" t="i"/>
    <k n="Schlusskurs des Vortags" t="i"/>
    <k n="Unternehmensgründungsjahr"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4" formatCode="#,##0.00"/>
    </x:dxf>
    <x:dxf>
      <x:numFmt numFmtId="0" formatCode="General"/>
    </x:dxf>
    <x:dxf>
      <x:numFmt numFmtId="3" formatCode="#,##0"/>
    </x:dxf>
    <x:dxf>
      <x:numFmt numFmtId="14" formatCode="0.00%"/>
    </x:dxf>
    <x:dxf>
      <x:numFmt numFmtId="2" formatCode="0.00"/>
    </x:dxf>
    <x:dxf>
      <x:numFmt numFmtId="27" formatCode="dd/mm/yyyy\ hh:mm"/>
    </x:dxf>
    <x:dxf>
      <x:numFmt numFmtId="19" formatCode="dd/mm/yyyy"/>
    </x:dxf>
    <x:dxf>
      <x:numFmt numFmtId="1" formatCode="0"/>
    </x:dxf>
  </dxfs>
  <richProperties>
    <rPr n="NumberFormat" t="s"/>
    <rPr n="IsTitleField" t="b"/>
  </richProperties>
  <richStyles>
    <rSty dxfid="0">
      <rpv i="0">#,##0.00</rpv>
    </rSty>
    <rSty dxfid="1">
      <rpv i="0">_([$$-en-US]* #,##0.00_);_([$$-en-US]* (#,##0.00);_([$$-en-US]* "-"??_);_(@_)</rpv>
    </rSty>
    <rSty>
      <rpv i="1">1</rpv>
    </rSty>
    <rSty dxfid="2">
      <rpv i="0">#,##0</rpv>
    </rSty>
    <rSty dxfid="1">
      <rpv i="0">_([$$-en-US]* #,##0_);_([$$-en-US]* (#,##0);_([$$-en-US]* "-"_);_(@_)</rpv>
    </rSty>
    <rSty dxfid="3"/>
    <rSty dxfid="4">
      <rpv i="0">0.00</rpv>
    </rSty>
    <rSty dxfid="5"/>
    <rSty dxfid="1">
      <rpv i="0">_-* #,##0.00 [$zł-pl-PL]_-;-* #,##0.00 [$zł-pl-PL]_-;_-* "-"?? [$zł-pl-PL]_-;_-@_-</rpv>
    </rSty>
    <rSty dxfid="1">
      <rpv i="0">_-* #,##0 [$zł-pl-PL]_-;-* #,##0 [$zł-pl-PL]_-;_-* "-" [$zł-pl-PL]_-;_-@_-</rpv>
    </rSty>
    <rSty dxfid="7">
      <rpv i="0">0</rpv>
    </rSty>
    <rSty dxfid="6"/>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CA5AA-6525-45CB-BB70-219964AE7629}">
  <sheetPr codeName="Sheet1"/>
  <dimension ref="A2:DL59"/>
  <sheetViews>
    <sheetView tabSelected="1" workbookViewId="0">
      <selection activeCell="I3" sqref="I3"/>
    </sheetView>
  </sheetViews>
  <sheetFormatPr defaultRowHeight="14.6" x14ac:dyDescent="0.4"/>
  <cols>
    <col min="2" max="2" width="30.69140625" bestFit="1" customWidth="1"/>
    <col min="3" max="3" width="18.61328125" customWidth="1"/>
    <col min="4" max="4" width="7.61328125" bestFit="1" customWidth="1"/>
    <col min="5" max="5" width="5.921875" bestFit="1" customWidth="1"/>
    <col min="6" max="6" width="12.07421875" bestFit="1" customWidth="1"/>
    <col min="7" max="7" width="6.3828125" bestFit="1" customWidth="1"/>
    <col min="8" max="8" width="8.3828125" bestFit="1" customWidth="1"/>
    <col min="9" max="9" width="6.765625" bestFit="1" customWidth="1"/>
    <col min="10" max="10" width="7.53515625" bestFit="1" customWidth="1"/>
    <col min="11" max="11" width="8.765625" bestFit="1" customWidth="1"/>
    <col min="12" max="12" width="9.53515625" bestFit="1" customWidth="1"/>
    <col min="14" max="14" width="4.84375" bestFit="1" customWidth="1"/>
    <col min="15" max="15" width="25.23046875" bestFit="1" customWidth="1"/>
    <col min="16" max="16" width="4.921875" bestFit="1" customWidth="1"/>
    <col min="17" max="18" width="4.921875" customWidth="1"/>
    <col min="19" max="19" width="26.4609375" bestFit="1" customWidth="1"/>
    <col min="20" max="20" width="15.61328125" bestFit="1" customWidth="1"/>
    <col min="21" max="47" width="6.61328125" bestFit="1" customWidth="1"/>
    <col min="48" max="72" width="9.15234375" bestFit="1" customWidth="1"/>
    <col min="74" max="74" width="19.15234375" bestFit="1" customWidth="1"/>
    <col min="75" max="75" width="22.53515625" bestFit="1" customWidth="1"/>
    <col min="76" max="76" width="11.765625" bestFit="1" customWidth="1"/>
    <col min="79" max="79" width="17.921875" bestFit="1" customWidth="1"/>
    <col min="80" max="80" width="13.3046875" bestFit="1" customWidth="1"/>
    <col min="81" max="81" width="22.84375" bestFit="1" customWidth="1"/>
    <col min="82" max="82" width="16.07421875" bestFit="1" customWidth="1"/>
    <col min="83" max="83" width="12" bestFit="1" customWidth="1"/>
    <col min="84" max="84" width="21.61328125" bestFit="1" customWidth="1"/>
  </cols>
  <sheetData>
    <row r="2" spans="1:116" ht="15" thickBot="1" x14ac:dyDescent="0.45">
      <c r="A2" s="1"/>
      <c r="B2" s="2"/>
      <c r="C2" s="2"/>
      <c r="D2" s="2"/>
      <c r="E2" s="2"/>
      <c r="F2" s="3"/>
      <c r="G2" s="3"/>
      <c r="H2" s="3"/>
      <c r="I2" s="3"/>
      <c r="J2" s="3"/>
      <c r="K2" s="3"/>
      <c r="L2" s="3"/>
      <c r="M2" s="3"/>
      <c r="N2" s="3"/>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1"/>
      <c r="CE2" s="2"/>
      <c r="CF2" s="1"/>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row>
    <row r="3" spans="1:116" x14ac:dyDescent="0.4">
      <c r="A3" s="1"/>
      <c r="B3" s="4" t="s">
        <v>0</v>
      </c>
      <c r="C3" s="4" t="s">
        <v>1</v>
      </c>
      <c r="D3" s="4" t="s">
        <v>2</v>
      </c>
      <c r="E3" s="4" t="s">
        <v>3</v>
      </c>
      <c r="F3" s="5" t="s">
        <v>4</v>
      </c>
      <c r="G3" s="5" t="s">
        <v>22</v>
      </c>
      <c r="H3" s="5" t="s">
        <v>6</v>
      </c>
      <c r="I3" s="5" t="s">
        <v>23</v>
      </c>
      <c r="J3" s="5" t="s">
        <v>8</v>
      </c>
      <c r="K3" s="5" t="s">
        <v>9</v>
      </c>
      <c r="L3" s="5" t="s">
        <v>10</v>
      </c>
      <c r="M3" s="3"/>
      <c r="N3" s="3"/>
      <c r="O3" s="2"/>
      <c r="P3" s="2"/>
      <c r="Q3" s="2"/>
      <c r="R3" s="2"/>
      <c r="S3" s="2"/>
      <c r="T3" s="2"/>
      <c r="U3" s="2">
        <v>1</v>
      </c>
      <c r="V3" s="2">
        <v>2</v>
      </c>
      <c r="W3" s="2">
        <v>3</v>
      </c>
      <c r="X3" s="2">
        <v>4</v>
      </c>
      <c r="Y3" s="2">
        <v>5</v>
      </c>
      <c r="Z3" s="2">
        <v>6</v>
      </c>
      <c r="AA3" s="2">
        <v>7</v>
      </c>
      <c r="AB3" s="2">
        <v>8</v>
      </c>
      <c r="AC3" s="2">
        <v>9</v>
      </c>
      <c r="AD3" s="2">
        <v>10</v>
      </c>
      <c r="AE3" s="2">
        <v>11</v>
      </c>
      <c r="AF3" s="2">
        <v>12</v>
      </c>
      <c r="AG3" s="2">
        <v>13</v>
      </c>
      <c r="AH3" s="2">
        <v>14</v>
      </c>
      <c r="AI3" s="2">
        <v>15</v>
      </c>
      <c r="AJ3" s="2">
        <v>16</v>
      </c>
      <c r="AK3" s="2">
        <v>17</v>
      </c>
      <c r="AL3" s="2">
        <v>18</v>
      </c>
      <c r="AM3" s="2">
        <v>19</v>
      </c>
      <c r="AN3" s="2">
        <v>20</v>
      </c>
      <c r="AO3" s="2">
        <v>21</v>
      </c>
      <c r="AP3" s="2">
        <v>22</v>
      </c>
      <c r="AQ3" s="2">
        <v>23</v>
      </c>
      <c r="AR3" s="2">
        <v>24</v>
      </c>
      <c r="AS3" s="2">
        <v>25</v>
      </c>
      <c r="AT3" s="2">
        <v>26</v>
      </c>
      <c r="AU3" s="2">
        <v>27</v>
      </c>
      <c r="AV3" s="2">
        <v>1</v>
      </c>
      <c r="AW3" s="2">
        <v>2</v>
      </c>
      <c r="AX3" s="2">
        <v>3</v>
      </c>
      <c r="AY3" s="2">
        <v>4</v>
      </c>
      <c r="AZ3" s="2">
        <v>5</v>
      </c>
      <c r="BA3" s="2">
        <v>6</v>
      </c>
      <c r="BB3" s="2">
        <v>7</v>
      </c>
      <c r="BC3" s="2">
        <v>8</v>
      </c>
      <c r="BD3" s="2">
        <v>9</v>
      </c>
      <c r="BE3" s="2">
        <v>10</v>
      </c>
      <c r="BF3" s="2">
        <v>11</v>
      </c>
      <c r="BG3" s="2">
        <v>12</v>
      </c>
      <c r="BH3" s="2">
        <v>13</v>
      </c>
      <c r="BI3" s="2">
        <v>14</v>
      </c>
      <c r="BJ3" s="2">
        <v>15</v>
      </c>
      <c r="BK3" s="2">
        <v>16</v>
      </c>
      <c r="BL3" s="2">
        <v>17</v>
      </c>
      <c r="BM3" s="2">
        <v>18</v>
      </c>
      <c r="BN3" s="2">
        <v>19</v>
      </c>
      <c r="BO3" s="2">
        <v>20</v>
      </c>
      <c r="BP3" s="2">
        <v>21</v>
      </c>
      <c r="BQ3" s="2">
        <v>22</v>
      </c>
      <c r="BR3" s="2">
        <v>23</v>
      </c>
      <c r="BS3" s="2">
        <v>24</v>
      </c>
      <c r="BT3" s="2">
        <v>25</v>
      </c>
      <c r="BU3" s="2"/>
      <c r="BV3" s="2" t="s">
        <v>11</v>
      </c>
      <c r="BW3" s="2" t="s">
        <v>12</v>
      </c>
      <c r="BX3" s="2" t="s">
        <v>13</v>
      </c>
      <c r="BY3" s="2"/>
      <c r="BZ3" s="2"/>
      <c r="CA3" s="2" t="s">
        <v>14</v>
      </c>
      <c r="CB3" s="2" t="s">
        <v>15</v>
      </c>
      <c r="CC3" s="2" t="s">
        <v>16</v>
      </c>
      <c r="CD3" s="2" t="s">
        <v>17</v>
      </c>
      <c r="CE3" s="2" t="s">
        <v>18</v>
      </c>
      <c r="CF3" s="2" t="s">
        <v>19</v>
      </c>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row>
    <row r="4" spans="1:116" ht="15" thickBot="1" x14ac:dyDescent="0.45">
      <c r="A4" s="1"/>
      <c r="B4" s="6" t="str">
        <f ca="1">P4 &amp; " - " &amp; S4</f>
        <v>SPY - SPDR S&amp;P 500</v>
      </c>
      <c r="C4" s="6"/>
      <c r="D4" s="6" cm="1">
        <f t="array" aca="1" ref="D4" ca="1">_FV(O4,"Änderung (%)",TRUE)</f>
        <v>8.1779999999999995E-3</v>
      </c>
      <c r="E4" s="6">
        <f ca="1">_xlfn.RANK.EQ(D4, D:D, 1) / COUNT(D:D)</f>
        <v>0.69090909090909092</v>
      </c>
      <c r="F4" s="6"/>
      <c r="G4" s="6">
        <f ca="1">IF(CE4&lt;&gt;0, (AU4 - CE4) / CE4, "N/A")</f>
        <v>8.1783360364401959E-3</v>
      </c>
      <c r="H4" s="6">
        <f ca="1">(AU4/AP4-1)</f>
        <v>2.9094751673124586E-2</v>
      </c>
      <c r="I4" s="6">
        <f ca="1">IF(BW4&lt;&gt;0, (AU4 -BW4) / BW4, "N/A")</f>
        <v>1.8404907975460225E-2</v>
      </c>
      <c r="J4" s="6">
        <f ca="1">_xlfn.RANK.EQ(I4, I:I, 1) / COUNT(I:I)</f>
        <v>0.41818181818181815</v>
      </c>
      <c r="K4" s="6">
        <f ca="1">IFERROR((AU4/X4-1), "Error")</f>
        <v>5.3930233397063709E-2</v>
      </c>
      <c r="L4" s="6">
        <f ca="1">_xlfn.RANK.EQ(K4, K:K, 1) / COUNT(K:K)</f>
        <v>0.2</v>
      </c>
      <c r="M4" s="6"/>
      <c r="N4" s="6">
        <f ca="1">IF(BW4&lt;&gt;0, (AU4 -BW4) / BW4, "N/A")</f>
        <v>1.8404907975460225E-2</v>
      </c>
      <c r="O4" s="2" t="e" vm="1">
        <v>#VALUE!</v>
      </c>
      <c r="P4" s="2" t="str" cm="1">
        <f t="array" aca="1" ref="P4" ca="1">_FV(O4,"Ticker-Symbol",TRUE)</f>
        <v>SPY</v>
      </c>
      <c r="Q4" s="2"/>
      <c r="R4" s="2"/>
      <c r="S4" s="2" t="s">
        <v>20</v>
      </c>
      <c r="T4" s="2" t="str" cm="1">
        <f t="array" aca="1" ref="T4" ca="1">_FV(O4,"Name")</f>
        <v>SPDR S&amp;P 500</v>
      </c>
      <c r="U4" s="2" cm="1" vm="2">
        <f t="array" aca="1" ref="U4:AU4" ca="1">TRANSPOSE(_xlfn.STOCKHISTORY(P4, WORKDAY(TODAY(), -27), TODAY(), 0, 0, 1))</f>
        <v>540.36</v>
      </c>
      <c r="V4" s="2" vm="3">
        <f ca="1"/>
        <v>546.41</v>
      </c>
      <c r="W4" s="2" vm="4">
        <f ca="1"/>
        <v>548.79</v>
      </c>
      <c r="X4" s="2" vm="5">
        <f ca="1"/>
        <v>554.41999999999996</v>
      </c>
      <c r="Y4" s="2" vm="6">
        <f ca="1"/>
        <v>559.09</v>
      </c>
      <c r="Z4" s="2" vm="7">
        <f ca="1"/>
        <v>562.01</v>
      </c>
      <c r="AA4" s="2" vm="8">
        <f ca="1"/>
        <v>562.84</v>
      </c>
      <c r="AB4" s="2" vm="9">
        <f ca="1"/>
        <v>563.07000000000005</v>
      </c>
      <c r="AC4" s="2" vm="10">
        <f ca="1"/>
        <v>561.4</v>
      </c>
      <c r="AD4" s="2" vm="11">
        <f ca="1"/>
        <v>570.98</v>
      </c>
      <c r="AE4" s="2" vm="12">
        <f ca="1"/>
        <v>568.25</v>
      </c>
      <c r="AF4" s="2" vm="13">
        <f ca="1"/>
        <v>569.66999999999996</v>
      </c>
      <c r="AG4" s="2" vm="14">
        <f ca="1"/>
        <v>571.29999999999995</v>
      </c>
      <c r="AH4" s="2" vm="15">
        <f ca="1"/>
        <v>570.04</v>
      </c>
      <c r="AI4" s="2" vm="16">
        <f ca="1"/>
        <v>572.29999999999995</v>
      </c>
      <c r="AJ4" s="2" vm="17">
        <f ca="1"/>
        <v>571.47</v>
      </c>
      <c r="AK4" s="2" vm="18">
        <f ca="1"/>
        <v>573.76</v>
      </c>
      <c r="AL4" s="2" vm="19">
        <f ca="1"/>
        <v>568.62</v>
      </c>
      <c r="AM4" s="2" vm="20">
        <f ca="1"/>
        <v>568.86</v>
      </c>
      <c r="AN4" s="2" vm="21">
        <f ca="1"/>
        <v>567.82000000000005</v>
      </c>
      <c r="AO4" s="2" vm="22">
        <f ca="1"/>
        <v>572.98</v>
      </c>
      <c r="AP4" s="2" vm="23">
        <f ca="1"/>
        <v>567.79999999999995</v>
      </c>
      <c r="AQ4" s="2" vm="24">
        <f ca="1"/>
        <v>573.16999999999996</v>
      </c>
      <c r="AR4" s="2" vm="25">
        <f ca="1"/>
        <v>577.14</v>
      </c>
      <c r="AS4" s="2" vm="26">
        <f ca="1"/>
        <v>576.13</v>
      </c>
      <c r="AT4" s="2" vm="27">
        <f ca="1"/>
        <v>579.58000000000004</v>
      </c>
      <c r="AU4" s="2" vm="28">
        <f ca="1"/>
        <v>584.32000000000005</v>
      </c>
      <c r="AV4" s="2">
        <f t="shared" ref="AV4:BT4" ca="1" si="0">U4/U$4</f>
        <v>1</v>
      </c>
      <c r="AW4" s="2">
        <f t="shared" ca="1" si="0"/>
        <v>1</v>
      </c>
      <c r="AX4" s="2">
        <f t="shared" ca="1" si="0"/>
        <v>1</v>
      </c>
      <c r="AY4" s="2">
        <f t="shared" ca="1" si="0"/>
        <v>1</v>
      </c>
      <c r="AZ4" s="2">
        <f t="shared" ca="1" si="0"/>
        <v>1</v>
      </c>
      <c r="BA4" s="2">
        <f t="shared" ca="1" si="0"/>
        <v>1</v>
      </c>
      <c r="BB4" s="2">
        <f t="shared" ca="1" si="0"/>
        <v>1</v>
      </c>
      <c r="BC4" s="2">
        <f t="shared" ca="1" si="0"/>
        <v>1</v>
      </c>
      <c r="BD4" s="2">
        <f t="shared" ca="1" si="0"/>
        <v>1</v>
      </c>
      <c r="BE4" s="2">
        <f t="shared" ca="1" si="0"/>
        <v>1</v>
      </c>
      <c r="BF4" s="2">
        <f t="shared" ca="1" si="0"/>
        <v>1</v>
      </c>
      <c r="BG4" s="2">
        <f t="shared" ca="1" si="0"/>
        <v>1</v>
      </c>
      <c r="BH4" s="2">
        <f t="shared" ca="1" si="0"/>
        <v>1</v>
      </c>
      <c r="BI4" s="2">
        <f t="shared" ca="1" si="0"/>
        <v>1</v>
      </c>
      <c r="BJ4" s="2">
        <f t="shared" ca="1" si="0"/>
        <v>1</v>
      </c>
      <c r="BK4" s="2">
        <f t="shared" ca="1" si="0"/>
        <v>1</v>
      </c>
      <c r="BL4" s="2">
        <f t="shared" ca="1" si="0"/>
        <v>1</v>
      </c>
      <c r="BM4" s="2">
        <f t="shared" ca="1" si="0"/>
        <v>1</v>
      </c>
      <c r="BN4" s="2">
        <f t="shared" ca="1" si="0"/>
        <v>1</v>
      </c>
      <c r="BO4" s="2">
        <f t="shared" ca="1" si="0"/>
        <v>1</v>
      </c>
      <c r="BP4" s="2">
        <f t="shared" ca="1" si="0"/>
        <v>1</v>
      </c>
      <c r="BQ4" s="2">
        <f t="shared" ca="1" si="0"/>
        <v>1</v>
      </c>
      <c r="BR4" s="2">
        <f t="shared" ca="1" si="0"/>
        <v>1</v>
      </c>
      <c r="BS4" s="2">
        <f t="shared" ca="1" si="0"/>
        <v>1</v>
      </c>
      <c r="BT4" s="2">
        <f t="shared" ca="1" si="0"/>
        <v>1</v>
      </c>
      <c r="BU4" s="2"/>
      <c r="BV4" s="2">
        <f ca="1">EOMONTH(TODAY(), -1)</f>
        <v>45565</v>
      </c>
      <c r="BW4" s="2" cm="1" vm="18">
        <f t="array" aca="1" ref="BW4" ca="1">_xlfn.STOCKHISTORY(P4,BV4, BV4, 0, 0, 1)</f>
        <v>573.76</v>
      </c>
      <c r="BX4" s="7">
        <f ca="1">IF(BW4&lt;&gt;0, (AU4 -BW4) / BW4, "N/A")</f>
        <v>1.8404907975460225E-2</v>
      </c>
      <c r="BY4" s="7"/>
      <c r="BZ4" s="7"/>
      <c r="CA4" s="8">
        <f ca="1">TODAY() - WEEKDAY(TODAY(), 2) + 1</f>
        <v>45579</v>
      </c>
      <c r="CB4" s="7" cm="1" vm="28">
        <f t="array" aca="1" ref="CB4" ca="1">IFERROR(_xlfn.STOCKHISTORY(P4, WORKDAY(CA4, 0), WORKDAY(CA4, 0), 0, 0, 1), "N/A")</f>
        <v>584.32000000000005</v>
      </c>
      <c r="CC4" s="9">
        <f ca="1">IF(CB4&lt;&gt;0, (AU4 - CB4) / CB4, "N/A")</f>
        <v>0</v>
      </c>
      <c r="CD4" s="10">
        <f ca="1">TODAY() - WEEKDAY(TODAY(), 2) - 2</f>
        <v>45576</v>
      </c>
      <c r="CE4" s="11" cm="1" vm="27">
        <f t="array" aca="1" ref="CE4" ca="1">IFERROR(_xlfn.STOCKHISTORY(P4, WORKDAY(CD4, 0), WORKDAY(CD4, 0), 0, 0, 1), "N/A")</f>
        <v>579.58000000000004</v>
      </c>
      <c r="CF4" s="12">
        <f ca="1">IF(CE4&lt;&gt;0, (AU4 - CE4) / CE4, "N/A")</f>
        <v>8.1783360364401959E-3</v>
      </c>
      <c r="CG4" s="7"/>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row>
    <row r="5" spans="1:116" ht="15" thickBot="1" x14ac:dyDescent="0.45">
      <c r="A5" s="1"/>
      <c r="B5" s="13" t="s">
        <v>21</v>
      </c>
      <c r="C5" s="13" t="s">
        <v>1</v>
      </c>
      <c r="D5" s="13" t="s">
        <v>2</v>
      </c>
      <c r="E5" s="13" t="s">
        <v>3</v>
      </c>
      <c r="F5" s="13" t="s">
        <v>4</v>
      </c>
      <c r="G5" s="13" t="s">
        <v>5</v>
      </c>
      <c r="H5" s="13" t="s">
        <v>6</v>
      </c>
      <c r="I5" s="13" t="s">
        <v>7</v>
      </c>
      <c r="J5" s="13" t="s">
        <v>8</v>
      </c>
      <c r="K5" s="16" t="s">
        <v>9</v>
      </c>
      <c r="L5" s="16" t="s">
        <v>10</v>
      </c>
      <c r="M5" s="6"/>
      <c r="N5" s="6"/>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f ca="1">EOMONTH(TODAY(), -1)</f>
        <v>45565</v>
      </c>
      <c r="BW5" s="2"/>
      <c r="BX5" s="7"/>
      <c r="BY5" s="7"/>
      <c r="BZ5" s="7"/>
      <c r="CA5" s="8">
        <f ca="1">TODAY() - WEEKDAY(TODAY(), 2) + 1</f>
        <v>45579</v>
      </c>
      <c r="CB5" s="7"/>
      <c r="CC5" s="9"/>
      <c r="CD5" s="10">
        <f ca="1">TODAY() - WEEKDAY(TODAY(), 2) - 2</f>
        <v>45576</v>
      </c>
      <c r="CE5" s="11"/>
      <c r="CF5" s="12"/>
      <c r="CG5" s="7"/>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row>
    <row r="6" spans="1:116" x14ac:dyDescent="0.4">
      <c r="A6" s="1"/>
      <c r="B6" s="6" t="str">
        <f ca="1">P6 &amp; " - " &amp; S6</f>
        <v>BLOK - Amplify Trans Data Shrng</v>
      </c>
      <c r="C6" s="6"/>
      <c r="D6" s="6" cm="1">
        <f t="array" aca="1" ref="D6" ca="1">_FV(O6,"Änderung (%)",TRUE)</f>
        <v>2.2890999999999998E-2</v>
      </c>
      <c r="E6" s="6">
        <f ca="1">_xlfn.RANK.EQ(D6, D:D, 1) / COUNT(D:D)</f>
        <v>0.96363636363636362</v>
      </c>
      <c r="F6" s="6">
        <f ca="1">PERCENTRANK(AV6:BT6,BT6)</f>
        <v>0.625</v>
      </c>
      <c r="G6" s="6">
        <f ca="1">IF(CE6&lt;&gt;0, (AU6 - CE6) / CE6, "N/A")</f>
        <v>2.2890946502057627E-2</v>
      </c>
      <c r="H6" s="6">
        <f ca="1">(AU6/AP6-1)</f>
        <v>6.1665776828617291E-2</v>
      </c>
      <c r="I6" s="6">
        <f ca="1">IF(BW6&lt;&gt;0, (AU6 -BW6) / BW6, "N/A")</f>
        <v>5.9968017057569288E-2</v>
      </c>
      <c r="J6" s="6">
        <f ca="1">_xlfn.RANK.EQ(I6, I:I, 1) / COUNT(I:I)</f>
        <v>0.96363636363636362</v>
      </c>
      <c r="K6" s="6">
        <f ca="1">IFERROR((AU6/X6-1), "Error")</f>
        <v>0.15308785155117421</v>
      </c>
      <c r="L6" s="6">
        <f ca="1">_xlfn.RANK.EQ(K6, K:K, 1) / COUNT(K:K)</f>
        <v>0.87272727272727268</v>
      </c>
      <c r="M6" s="6"/>
      <c r="N6" s="6">
        <f ca="1">IF(BW6&lt;&gt;0, (AU6 -BW6) / BW6, "N/A")</f>
        <v>5.9968017057569288E-2</v>
      </c>
      <c r="O6" s="2" t="e" vm="29">
        <v>#VALUE!</v>
      </c>
      <c r="P6" s="2" t="str" cm="1">
        <f t="array" aca="1" ref="P6" ca="1">_FV(O6,"Ticker-Symbol",TRUE)</f>
        <v>BLOK</v>
      </c>
      <c r="Q6" s="2" t="str">
        <f ca="1">P6 &amp; ""</f>
        <v>BLOK</v>
      </c>
      <c r="R6" s="14" t="s">
        <v>71</v>
      </c>
      <c r="S6" s="2" t="str" cm="1">
        <f t="array" aca="1" ref="S6" ca="1">_FV(O6,"Name")</f>
        <v>Amplify Trans Data Shrng</v>
      </c>
      <c r="T6" s="2" t="str" cm="1">
        <f t="array" aca="1" ref="T6" ca="1">_FV(O6,"Name")</f>
        <v>Amplify Trans Data Shrng</v>
      </c>
      <c r="U6" s="2" cm="1" vm="30">
        <f t="array" aca="1" ref="U6:AU6" ca="1">TRANSPOSE(_xlfn.STOCKHISTORY(P6, WORKDAY(TODAY(), -27), TODAY(), 0, 0, 1))</f>
        <v>32.35</v>
      </c>
      <c r="V6" s="2" vm="31">
        <f ca="1"/>
        <v>33.5</v>
      </c>
      <c r="W6" s="2" vm="32">
        <f ca="1"/>
        <v>34.24</v>
      </c>
      <c r="X6" s="2" vm="33">
        <f ca="1"/>
        <v>34.49</v>
      </c>
      <c r="Y6" s="2" vm="34">
        <f ca="1"/>
        <v>35</v>
      </c>
      <c r="Z6" s="2" vm="35">
        <f ca="1"/>
        <v>35.64</v>
      </c>
      <c r="AA6" s="2" vm="36">
        <f ca="1"/>
        <v>35.39</v>
      </c>
      <c r="AB6" s="2" vm="37">
        <f ca="1"/>
        <v>35.67</v>
      </c>
      <c r="AC6" s="2" vm="38">
        <f ca="1"/>
        <v>35.700000000000003</v>
      </c>
      <c r="AD6" s="2" vm="39">
        <f ca="1"/>
        <v>36.5</v>
      </c>
      <c r="AE6" s="2" vm="40">
        <f ca="1"/>
        <v>36.47</v>
      </c>
      <c r="AF6" s="2" vm="41">
        <f ca="1"/>
        <v>36.729999999999997</v>
      </c>
      <c r="AG6" s="2" vm="42">
        <f ca="1"/>
        <v>37.51</v>
      </c>
      <c r="AH6" s="2" vm="43">
        <f ca="1"/>
        <v>37.18</v>
      </c>
      <c r="AI6" s="2" vm="44">
        <f ca="1"/>
        <v>38.159999999999997</v>
      </c>
      <c r="AJ6" s="2" vm="45">
        <f ca="1"/>
        <v>38.299999999999997</v>
      </c>
      <c r="AK6" s="2" vm="46">
        <f ca="1"/>
        <v>37.520000000000003</v>
      </c>
      <c r="AL6" s="2" vm="39">
        <f ca="1"/>
        <v>36.5</v>
      </c>
      <c r="AM6" s="2" vm="47">
        <f ca="1"/>
        <v>36.65</v>
      </c>
      <c r="AN6" s="2" vm="48">
        <f ca="1"/>
        <v>36.58</v>
      </c>
      <c r="AO6" s="2" vm="49">
        <f ca="1"/>
        <v>37.6</v>
      </c>
      <c r="AP6" s="2" vm="50">
        <f ca="1"/>
        <v>37.46</v>
      </c>
      <c r="AQ6" s="2" vm="51">
        <f ca="1"/>
        <v>37.65</v>
      </c>
      <c r="AR6" s="2" vm="52">
        <f ca="1"/>
        <v>37.42</v>
      </c>
      <c r="AS6" s="2" vm="53">
        <f ca="1"/>
        <v>37.200000000000003</v>
      </c>
      <c r="AT6" s="2" vm="54">
        <f ca="1"/>
        <v>38.880000000000003</v>
      </c>
      <c r="AU6" s="2" vm="55">
        <f ca="1"/>
        <v>39.770000000000003</v>
      </c>
      <c r="AV6" s="2">
        <f ca="1">U6/U$4</f>
        <v>5.9867495743578358E-2</v>
      </c>
      <c r="AW6" s="2">
        <f ca="1">V6/V$4</f>
        <v>6.130927325634597E-2</v>
      </c>
      <c r="AX6" s="2">
        <f ca="1">W6/W$4</f>
        <v>6.2391807430893426E-2</v>
      </c>
      <c r="AY6" s="2">
        <f ca="1">X6/X$4</f>
        <v>6.2209155513870358E-2</v>
      </c>
      <c r="AZ6" s="2">
        <f ca="1">Y6/Y$4</f>
        <v>6.2601727807687482E-2</v>
      </c>
      <c r="BA6" s="2">
        <f ca="1">Z6/Z$4</f>
        <v>6.3415241721677548E-2</v>
      </c>
      <c r="BB6" s="2">
        <f ca="1">AA6/AA$4</f>
        <v>6.2877549570037661E-2</v>
      </c>
      <c r="BC6" s="2">
        <f ca="1">AB6/AB$4</f>
        <v>6.3349139538600885E-2</v>
      </c>
      <c r="BD6" s="2">
        <f ca="1">AC6/AC$4</f>
        <v>6.3591022443890283E-2</v>
      </c>
      <c r="BE6" s="2">
        <f ca="1">AD6/AD$4</f>
        <v>6.3925181267294823E-2</v>
      </c>
      <c r="BF6" s="2">
        <f ca="1">AE6/AE$4</f>
        <v>6.4179498460184781E-2</v>
      </c>
      <c r="BG6" s="2">
        <f ca="1">AF6/AF$4</f>
        <v>6.4475924658135411E-2</v>
      </c>
      <c r="BH6" s="2">
        <f ca="1">AG6/AG$4</f>
        <v>6.5657272886399443E-2</v>
      </c>
      <c r="BI6" s="2">
        <f ca="1">AH6/AH$4</f>
        <v>6.522349308820434E-2</v>
      </c>
      <c r="BJ6" s="2">
        <f ca="1">AI6/AI$4</f>
        <v>6.667831556875764E-2</v>
      </c>
      <c r="BK6" s="2">
        <f ca="1">AJ6/AJ$4</f>
        <v>6.7020141039774606E-2</v>
      </c>
      <c r="BL6" s="2">
        <f ca="1">AK6/AK$4</f>
        <v>6.5393195761293932E-2</v>
      </c>
      <c r="BM6" s="2">
        <f ca="1">AL6/AL$4</f>
        <v>6.4190496289261725E-2</v>
      </c>
      <c r="BN6" s="2">
        <f ca="1">AM6/AM$4</f>
        <v>6.4427099813662403E-2</v>
      </c>
      <c r="BO6" s="2">
        <f ca="1">AN6/AN$4</f>
        <v>6.4421823817406923E-2</v>
      </c>
      <c r="BP6" s="2">
        <f ca="1">AO6/AO$4</f>
        <v>6.5621836713323334E-2</v>
      </c>
      <c r="BQ6" s="2">
        <f ca="1">AP6/AP$4</f>
        <v>6.5973934483973234E-2</v>
      </c>
      <c r="BR6" s="2">
        <f ca="1">AQ6/AQ$4</f>
        <v>6.5687317898703704E-2</v>
      </c>
      <c r="BS6" s="2">
        <f ca="1">AR6/AR$4</f>
        <v>6.4836954638389302E-2</v>
      </c>
      <c r="BT6" s="2">
        <f ca="1">AS6/AS$4</f>
        <v>6.4568760522798682E-2</v>
      </c>
      <c r="BU6" s="2"/>
      <c r="BV6" s="2">
        <f ca="1">EOMONTH(TODAY(), -1)</f>
        <v>45565</v>
      </c>
      <c r="BW6" s="2" cm="1" vm="46">
        <f t="array" aca="1" ref="BW6" ca="1">_xlfn.STOCKHISTORY(P6,BV6, BV6, 0, 0, 1)</f>
        <v>37.520000000000003</v>
      </c>
      <c r="BX6" s="7">
        <f ca="1">IF(BW6&lt;&gt;0, (AU6 -BW6) / BW6, "N/A")</f>
        <v>5.9968017057569288E-2</v>
      </c>
      <c r="BY6" s="7"/>
      <c r="BZ6" s="7"/>
      <c r="CA6" s="8">
        <f ca="1">TODAY() - WEEKDAY(TODAY(), 2) + 1</f>
        <v>45579</v>
      </c>
      <c r="CB6" s="7" cm="1" vm="55">
        <f t="array" aca="1" ref="CB6" ca="1">IFERROR(_xlfn.STOCKHISTORY(P6, WORKDAY(CA6, 0), WORKDAY(CA6, 0), 0, 0, 1), "N/A")</f>
        <v>39.770000000000003</v>
      </c>
      <c r="CC6" s="9">
        <f ca="1">IF(CB6&lt;&gt;0, (AU6 - CB6) / CB6, "N/A")</f>
        <v>0</v>
      </c>
      <c r="CD6" s="10">
        <f ca="1">TODAY() - WEEKDAY(TODAY(), 2) - 2</f>
        <v>45576</v>
      </c>
      <c r="CE6" s="11" cm="1" vm="54">
        <f t="array" aca="1" ref="CE6" ca="1">IFERROR(_xlfn.STOCKHISTORY(P6, WORKDAY(CD6, 0), WORKDAY(CD6, 0), 0, 0, 1), "N/A")</f>
        <v>38.880000000000003</v>
      </c>
      <c r="CF6" s="12">
        <f ca="1">IF(CE6&lt;&gt;0, (AU6 - CE6) / CE6, "N/A")</f>
        <v>2.2890946502057627E-2</v>
      </c>
      <c r="CG6" s="7"/>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row>
    <row r="7" spans="1:116" x14ac:dyDescent="0.4">
      <c r="B7" s="6" t="str">
        <f ca="1">P7 &amp; " - " &amp; S7</f>
        <v>IHAK - iShares:Cybersec &amp; Tech</v>
      </c>
      <c r="C7" s="6"/>
      <c r="D7" s="6" cm="1">
        <f t="array" aca="1" ref="D7" ca="1">_FV(O7,"Änderung (%)",TRUE)</f>
        <v>4.0930000000000003E-3</v>
      </c>
      <c r="E7" s="6">
        <f ca="1">_xlfn.RANK.EQ(D7, D:D, 1) / COUNT(D:D)</f>
        <v>0.52727272727272723</v>
      </c>
      <c r="F7" s="6">
        <f ca="1">PERCENTRANK(AV7:BT7,BT7)</f>
        <v>1</v>
      </c>
      <c r="G7" s="6">
        <f ca="1">IF(CE7&lt;&gt;0, (AU7 - CE7) / CE7, "N/A")</f>
        <v>4.0931138676844735E-3</v>
      </c>
      <c r="H7" s="6">
        <f ca="1">(AU7/AP7-1)</f>
        <v>5.9796475031473006E-2</v>
      </c>
      <c r="I7" s="6">
        <f ca="1">IF(BW7&lt;&gt;0, (AU7 -BW7) / BW7, "N/A")</f>
        <v>3.6313089864587603E-2</v>
      </c>
      <c r="J7" s="6">
        <f ca="1">_xlfn.RANK.EQ(I7, I:I, 1) / COUNT(I:I)</f>
        <v>0.74545454545454548</v>
      </c>
      <c r="K7" s="6">
        <f ca="1">IFERROR((AU7/X7-1), "Error")</f>
        <v>8.6000860030101212E-2</v>
      </c>
      <c r="L7" s="6">
        <f ca="1">_xlfn.RANK.EQ(K7, K:K, 1) / COUNT(K:K)</f>
        <v>0.52727272727272723</v>
      </c>
      <c r="M7" s="6"/>
      <c r="N7" s="6">
        <f ca="1">IF(BW7&lt;&gt;0, (AU7 -BW7) / BW7, "N/A")</f>
        <v>3.6313089864587603E-2</v>
      </c>
      <c r="O7" s="2" t="e" vm="56">
        <v>#VALUE!</v>
      </c>
      <c r="P7" s="14" t="s">
        <v>35</v>
      </c>
      <c r="Q7" s="2" t="str">
        <f>P7 &amp; ""</f>
        <v>IHAK</v>
      </c>
      <c r="R7" s="14" t="s">
        <v>71</v>
      </c>
      <c r="S7" s="2" t="str" cm="1">
        <f t="array" aca="1" ref="S7" ca="1">_FV(O7,"Name")</f>
        <v>iShares:Cybersec &amp; Tech</v>
      </c>
      <c r="T7" s="2" t="str" cm="1">
        <f t="array" aca="1" ref="T7" ca="1">_FV(O7,"Name")</f>
        <v>iShares:Cybersec &amp; Tech</v>
      </c>
      <c r="U7" s="2" cm="1" vm="57">
        <f t="array" aca="1" ref="U7:AU7" ca="1">TRANSPOSE(_xlfn.STOCKHISTORY(P7, WORKDAY(TODAY(), -27), TODAY(), 0, 0, 1))</f>
        <v>46.03</v>
      </c>
      <c r="V7" s="2" vm="58">
        <f ca="1"/>
        <v>46.201999999999998</v>
      </c>
      <c r="W7" s="2" vm="59">
        <f ca="1"/>
        <v>46.14</v>
      </c>
      <c r="X7" s="2" vm="60">
        <f ca="1"/>
        <v>46.51</v>
      </c>
      <c r="Y7" s="2" vm="61">
        <f ca="1"/>
        <v>46.908700000000003</v>
      </c>
      <c r="Z7" s="2" vm="62">
        <f ca="1"/>
        <v>47.4206</v>
      </c>
      <c r="AA7" s="2" vm="63">
        <f ca="1"/>
        <v>47.84</v>
      </c>
      <c r="AB7" s="2" vm="64">
        <f ca="1"/>
        <v>47.89</v>
      </c>
      <c r="AC7" s="2" vm="65">
        <f ca="1"/>
        <v>47.34</v>
      </c>
      <c r="AD7" s="2" vm="66">
        <f ca="1"/>
        <v>48.25</v>
      </c>
      <c r="AE7" s="2" vm="67">
        <f ca="1"/>
        <v>48.52</v>
      </c>
      <c r="AF7" s="2" vm="68">
        <f ca="1"/>
        <v>48.71</v>
      </c>
      <c r="AG7" s="2" vm="69">
        <f ca="1"/>
        <v>48.75</v>
      </c>
      <c r="AH7" s="2" vm="70">
        <f ca="1"/>
        <v>48.26</v>
      </c>
      <c r="AI7" s="2" vm="71">
        <f ca="1"/>
        <v>48.53</v>
      </c>
      <c r="AJ7" s="2" vm="72">
        <f ca="1"/>
        <v>48.49</v>
      </c>
      <c r="AK7" s="2" vm="73">
        <f ca="1"/>
        <v>48.74</v>
      </c>
      <c r="AL7" s="2" vm="63">
        <f ca="1"/>
        <v>47.84</v>
      </c>
      <c r="AM7" s="2" vm="74">
        <f ca="1"/>
        <v>47.88</v>
      </c>
      <c r="AN7" s="2" vm="75">
        <f ca="1"/>
        <v>47.715299999999999</v>
      </c>
      <c r="AO7" s="2" vm="76">
        <f ca="1"/>
        <v>48.31</v>
      </c>
      <c r="AP7" s="2" vm="77">
        <f ca="1"/>
        <v>47.66</v>
      </c>
      <c r="AQ7" s="2" vm="78">
        <f ca="1"/>
        <v>48.48</v>
      </c>
      <c r="AR7" s="2" vm="79">
        <f ca="1"/>
        <v>49.37</v>
      </c>
      <c r="AS7" s="2" vm="80">
        <f ca="1"/>
        <v>49.96</v>
      </c>
      <c r="AT7" s="2" vm="81">
        <f ca="1"/>
        <v>50.304000000000002</v>
      </c>
      <c r="AU7" s="2" vm="82">
        <f ca="1"/>
        <v>50.509900000000002</v>
      </c>
      <c r="AV7" s="2">
        <f ca="1">U7/U$4</f>
        <v>8.5183951439780886E-2</v>
      </c>
      <c r="AW7" s="2">
        <f ca="1">V7/V$4</f>
        <v>8.4555553522080495E-2</v>
      </c>
      <c r="AX7" s="2">
        <f ca="1">W7/W$4</f>
        <v>8.4075876018149032E-2</v>
      </c>
      <c r="AY7" s="2">
        <f ca="1">X7/X$4</f>
        <v>8.3889470076837058E-2</v>
      </c>
      <c r="AZ7" s="2">
        <f ca="1">Y7/Y$4</f>
        <v>8.3901876263213437E-2</v>
      </c>
      <c r="BA7" s="2">
        <f ca="1">Z7/Z$4</f>
        <v>8.4376790448568537E-2</v>
      </c>
      <c r="BB7" s="2">
        <f ca="1">AA7/AA$4</f>
        <v>8.4997512614597398E-2</v>
      </c>
      <c r="BC7" s="2">
        <f ca="1">AB7/AB$4</f>
        <v>8.5051592164384529E-2</v>
      </c>
      <c r="BD7" s="2">
        <f ca="1">AC7/AC$4</f>
        <v>8.4324902030637708E-2</v>
      </c>
      <c r="BE7" s="2">
        <f ca="1">AD7/AD$4</f>
        <v>8.4503835510876035E-2</v>
      </c>
      <c r="BF7" s="2">
        <f ca="1">AE7/AE$4</f>
        <v>8.538495380554334E-2</v>
      </c>
      <c r="BG7" s="2">
        <f ca="1">AF7/AF$4</f>
        <v>8.5505643618235122E-2</v>
      </c>
      <c r="BH7" s="2">
        <f ca="1">AG7/AG$4</f>
        <v>8.5331699632417296E-2</v>
      </c>
      <c r="BI7" s="2">
        <f ca="1">AH7/AH$4</f>
        <v>8.4660725563118377E-2</v>
      </c>
      <c r="BJ7" s="2">
        <f ca="1">AI7/AI$4</f>
        <v>8.4798182771273822E-2</v>
      </c>
      <c r="BK7" s="2">
        <f ca="1">AJ7/AJ$4</f>
        <v>8.4851348277249897E-2</v>
      </c>
      <c r="BL7" s="2">
        <f ca="1">AK7/AK$4</f>
        <v>8.494841048522031E-2</v>
      </c>
      <c r="BM7" s="2">
        <f ca="1">AL7/AL$4</f>
        <v>8.4133516232281672E-2</v>
      </c>
      <c r="BN7" s="2">
        <f ca="1">AM7/AM$4</f>
        <v>8.4168336673346694E-2</v>
      </c>
      <c r="BO7" s="2">
        <f ca="1">AN7/AN$4</f>
        <v>8.4032439857701369E-2</v>
      </c>
      <c r="BP7" s="2">
        <f ca="1">AO7/AO$4</f>
        <v>8.431358860693218E-2</v>
      </c>
      <c r="BQ7" s="2">
        <f ca="1">AP7/AP$4</f>
        <v>8.3938006340260662E-2</v>
      </c>
      <c r="BR7" s="2">
        <f ca="1">AQ7/AQ$4</f>
        <v>8.4582235636896555E-2</v>
      </c>
      <c r="BS7" s="2">
        <f ca="1">AR7/AR$4</f>
        <v>8.5542502685656857E-2</v>
      </c>
      <c r="BT7" s="2">
        <f ca="1">AS7/AS$4</f>
        <v>8.6716539669866172E-2</v>
      </c>
      <c r="BU7" s="2"/>
      <c r="BV7" s="2">
        <f ca="1">EOMONTH(TODAY(), -1)</f>
        <v>45565</v>
      </c>
      <c r="BW7" s="2" cm="1" vm="73">
        <f t="array" aca="1" ref="BW7" ca="1">_xlfn.STOCKHISTORY(P7,BV7, BV7, 0, 0, 1)</f>
        <v>48.74</v>
      </c>
      <c r="BX7" s="7">
        <f ca="1">IF(BW7&lt;&gt;0, (AU7 -BW7) / BW7, "N/A")</f>
        <v>3.6313089864587603E-2</v>
      </c>
      <c r="BY7" s="7"/>
      <c r="BZ7" s="7"/>
      <c r="CA7" s="8">
        <f ca="1">TODAY() - WEEKDAY(TODAY(), 2) + 1</f>
        <v>45579</v>
      </c>
      <c r="CB7" s="7" cm="1" vm="82">
        <f t="array" aca="1" ref="CB7" ca="1">IFERROR(_xlfn.STOCKHISTORY(P7, WORKDAY(CA7, 0), WORKDAY(CA7, 0), 0, 0, 1), "N/A")</f>
        <v>50.509900000000002</v>
      </c>
      <c r="CC7" s="9">
        <f ca="1">IF(CB7&lt;&gt;0, (AU7 - CB7) / CB7, "N/A")</f>
        <v>0</v>
      </c>
      <c r="CD7" s="10">
        <f ca="1">TODAY() - WEEKDAY(TODAY(), 2) - 2</f>
        <v>45576</v>
      </c>
      <c r="CE7" s="11" cm="1" vm="81">
        <f t="array" aca="1" ref="CE7" ca="1">IFERROR(_xlfn.STOCKHISTORY(P7, WORKDAY(CD7, 0), WORKDAY(CD7, 0), 0, 0, 1), "N/A")</f>
        <v>50.304000000000002</v>
      </c>
      <c r="CF7" s="12">
        <f ca="1">IF(CE7&lt;&gt;0, (AU7 - CE7) / CE7, "N/A")</f>
        <v>4.0931138676844735E-3</v>
      </c>
      <c r="CG7" s="7"/>
      <c r="CH7" s="2"/>
    </row>
    <row r="8" spans="1:116" x14ac:dyDescent="0.4">
      <c r="B8" s="6" t="str">
        <f ca="1">P8 &amp; " - " &amp; S8</f>
        <v>HACK - Amplify Cybersecurity</v>
      </c>
      <c r="C8" s="6"/>
      <c r="D8" s="6" cm="1">
        <f t="array" aca="1" ref="D8" ca="1">_FV(O8,"Änderung (%)",TRUE)</f>
        <v>1.116E-3</v>
      </c>
      <c r="E8" s="6">
        <f ca="1">_xlfn.RANK.EQ(D8, D:D, 1) / COUNT(D:D)</f>
        <v>0.38181818181818183</v>
      </c>
      <c r="F8" s="6">
        <f ca="1">PERCENTRANK(AV8:BT8,BT8)</f>
        <v>1</v>
      </c>
      <c r="G8" s="6">
        <f ca="1">IF(CE8&lt;&gt;0, (AU8 - CE8) / CE8, "N/A")</f>
        <v>1.116227152225454E-3</v>
      </c>
      <c r="H8" s="6">
        <f ca="1">(AU8/AP8-1)</f>
        <v>5.7869517139697679E-2</v>
      </c>
      <c r="I8" s="6">
        <f ca="1">IF(BW8&lt;&gt;0, (AU8 -BW8) / BW8, "N/A")</f>
        <v>5.0820152314001152E-2</v>
      </c>
      <c r="J8" s="6">
        <f ca="1">_xlfn.RANK.EQ(I8, I:I, 1) / COUNT(I:I)</f>
        <v>0.89090909090909087</v>
      </c>
      <c r="K8" s="6">
        <f ca="1">IFERROR((AU8/X8-1), "Error")</f>
        <v>0.10965047943086925</v>
      </c>
      <c r="L8" s="6">
        <f ca="1">_xlfn.RANK.EQ(K8, K:K, 1) / COUNT(K:K)</f>
        <v>0.74545454545454548</v>
      </c>
      <c r="M8" s="6"/>
      <c r="N8" s="6">
        <f ca="1">IF(BW8&lt;&gt;0, (AU8 -BW8) / BW8, "N/A")</f>
        <v>5.0820152314001152E-2</v>
      </c>
      <c r="O8" s="2" t="e" vm="83">
        <v>#VALUE!</v>
      </c>
      <c r="P8" s="14" t="s">
        <v>29</v>
      </c>
      <c r="Q8" s="2" t="str">
        <f>P8 &amp; ""</f>
        <v>HACK</v>
      </c>
      <c r="R8" s="14" t="s">
        <v>71</v>
      </c>
      <c r="S8" s="2" t="str" cm="1">
        <f t="array" aca="1" ref="S8" ca="1">_FV(O8,"Name")</f>
        <v>Amplify Cybersecurity</v>
      </c>
      <c r="T8" s="2" t="str" cm="1">
        <f t="array" aca="1" ref="T8" ca="1">_FV(O8,"Name")</f>
        <v>Amplify Cybersecurity</v>
      </c>
      <c r="U8" s="2" cm="1" vm="84">
        <f t="array" aca="1" ref="U8:AU8" ca="1">TRANSPOSE(_xlfn.STOCKHISTORY(P8, WORKDAY(TODAY(), -27), TODAY(), 0, 0, 1))</f>
        <v>63.06</v>
      </c>
      <c r="V8" s="2" vm="85">
        <f ca="1"/>
        <v>63.45</v>
      </c>
      <c r="W8" s="2" vm="86">
        <f ca="1"/>
        <v>63.9</v>
      </c>
      <c r="X8" s="2" vm="87">
        <f ca="1"/>
        <v>64.66</v>
      </c>
      <c r="Y8" s="2" vm="88">
        <f ca="1"/>
        <v>65.52</v>
      </c>
      <c r="Z8" s="2" vm="89">
        <f ca="1"/>
        <v>66.28</v>
      </c>
      <c r="AA8" s="2" vm="90">
        <f ca="1"/>
        <v>66.709999999999994</v>
      </c>
      <c r="AB8" s="2" vm="91">
        <f ca="1"/>
        <v>66.56</v>
      </c>
      <c r="AC8" s="2" vm="92">
        <f ca="1"/>
        <v>65.989999999999995</v>
      </c>
      <c r="AD8" s="2" vm="93">
        <f ca="1"/>
        <v>67.14</v>
      </c>
      <c r="AE8" s="2" vm="94">
        <f ca="1"/>
        <v>68</v>
      </c>
      <c r="AF8" s="2" vm="95">
        <f ca="1"/>
        <v>68.56</v>
      </c>
      <c r="AG8" s="2" vm="95">
        <f ca="1"/>
        <v>68.56</v>
      </c>
      <c r="AH8" s="2" vm="96">
        <f ca="1"/>
        <v>68.05</v>
      </c>
      <c r="AI8" s="2" vm="97">
        <f ca="1"/>
        <v>68.290000000000006</v>
      </c>
      <c r="AJ8" s="2" vm="98">
        <f ca="1"/>
        <v>68.08</v>
      </c>
      <c r="AK8" s="2" vm="99">
        <f ca="1"/>
        <v>68.28</v>
      </c>
      <c r="AL8" s="2" vm="100">
        <f ca="1"/>
        <v>67.33</v>
      </c>
      <c r="AM8" s="2" vm="101">
        <f ca="1"/>
        <v>67.656199999999998</v>
      </c>
      <c r="AN8" s="2" vm="102">
        <f ca="1"/>
        <v>67.430000000000007</v>
      </c>
      <c r="AO8" s="2" vm="103">
        <f ca="1"/>
        <v>68.58</v>
      </c>
      <c r="AP8" s="2" vm="104">
        <f ca="1"/>
        <v>67.825000000000003</v>
      </c>
      <c r="AQ8" s="2" vm="105">
        <f ca="1"/>
        <v>68.930000000000007</v>
      </c>
      <c r="AR8" s="2" vm="106">
        <f ca="1"/>
        <v>70.39</v>
      </c>
      <c r="AS8" s="2" vm="107">
        <f ca="1"/>
        <v>71.430000000000007</v>
      </c>
      <c r="AT8" s="2" vm="108">
        <f ca="1"/>
        <v>71.67</v>
      </c>
      <c r="AU8" s="2" vm="109">
        <f ca="1"/>
        <v>71.75</v>
      </c>
      <c r="AV8" s="2">
        <f ca="1">U8/U$4</f>
        <v>0.11669997779258272</v>
      </c>
      <c r="AW8" s="2">
        <f ca="1">V8/V$4</f>
        <v>0.11612159367507917</v>
      </c>
      <c r="AX8" s="2">
        <f ca="1">W8/W$4</f>
        <v>0.11643798174164982</v>
      </c>
      <c r="AY8" s="2">
        <f ca="1">X8/X$4</f>
        <v>0.11662638432956965</v>
      </c>
      <c r="AZ8" s="2">
        <f ca="1">Y8/Y$4</f>
        <v>0.11719043445599098</v>
      </c>
      <c r="BA8" s="2">
        <f ca="1">Z8/Z$4</f>
        <v>0.11793384459351257</v>
      </c>
      <c r="BB8" s="2">
        <f ca="1">AA8/AA$4</f>
        <v>0.11852391443394213</v>
      </c>
      <c r="BC8" s="2">
        <f ca="1">AB8/AB$4</f>
        <v>0.11820910366384285</v>
      </c>
      <c r="BD8" s="2">
        <f ca="1">AC8/AC$4</f>
        <v>0.11754542215888848</v>
      </c>
      <c r="BE8" s="2">
        <f ca="1">AD8/AD$4</f>
        <v>0.11758730603523766</v>
      </c>
      <c r="BF8" s="2">
        <f ca="1">AE8/AE$4</f>
        <v>0.11966564012318522</v>
      </c>
      <c r="BG8" s="2">
        <f ca="1">AF8/AF$4</f>
        <v>0.12035037828918498</v>
      </c>
      <c r="BH8" s="2">
        <f ca="1">AG8/AG$4</f>
        <v>0.12000700157535447</v>
      </c>
      <c r="BI8" s="2">
        <f ca="1">AH8/AH$4</f>
        <v>0.11937758753771666</v>
      </c>
      <c r="BJ8" s="2">
        <f ca="1">AI8/AI$4</f>
        <v>0.1193255285689324</v>
      </c>
      <c r="BK8" s="2">
        <f ca="1">AJ8/AJ$4</f>
        <v>0.11913136297618422</v>
      </c>
      <c r="BL8" s="2">
        <f ca="1">AK8/AK$4</f>
        <v>0.11900446179587285</v>
      </c>
      <c r="BM8" s="2">
        <f ca="1">AL8/AL$4</f>
        <v>0.11840948260701346</v>
      </c>
      <c r="BN8" s="2">
        <f ca="1">AM8/AM$4</f>
        <v>0.11893295362655135</v>
      </c>
      <c r="BO8" s="2">
        <f ca="1">AN8/AN$4</f>
        <v>0.11875242154203797</v>
      </c>
      <c r="BP8" s="2">
        <f ca="1">AO8/AO$4</f>
        <v>0.11969004153722643</v>
      </c>
      <c r="BQ8" s="2">
        <f ca="1">AP8/AP$4</f>
        <v>0.11945227192673478</v>
      </c>
      <c r="BR8" s="2">
        <f ca="1">AQ8/AQ$4</f>
        <v>0.12026100458851652</v>
      </c>
      <c r="BS8" s="2">
        <f ca="1">AR8/AR$4</f>
        <v>0.12196347506670825</v>
      </c>
      <c r="BT8" s="2">
        <f ca="1">AS8/AS$4</f>
        <v>0.12398243451998682</v>
      </c>
      <c r="BU8" s="2"/>
      <c r="BV8" s="2">
        <f ca="1">EOMONTH(TODAY(), -1)</f>
        <v>45565</v>
      </c>
      <c r="BW8" s="2" cm="1" vm="99">
        <f t="array" aca="1" ref="BW8" ca="1">_xlfn.STOCKHISTORY(P8,BV8, BV8, 0, 0, 1)</f>
        <v>68.28</v>
      </c>
      <c r="BX8" s="7">
        <f ca="1">IF(BW8&lt;&gt;0, (AU8 -BW8) / BW8, "N/A")</f>
        <v>5.0820152314001152E-2</v>
      </c>
      <c r="BY8" s="7"/>
      <c r="BZ8" s="7"/>
      <c r="CA8" s="8">
        <f ca="1">TODAY() - WEEKDAY(TODAY(), 2) + 1</f>
        <v>45579</v>
      </c>
      <c r="CB8" s="7" cm="1" vm="109">
        <f t="array" aca="1" ref="CB8" ca="1">IFERROR(_xlfn.STOCKHISTORY(P8, WORKDAY(CA8, 0), WORKDAY(CA8, 0), 0, 0, 1), "N/A")</f>
        <v>71.75</v>
      </c>
      <c r="CC8" s="9">
        <f ca="1">IF(CB8&lt;&gt;0, (AU8 - CB8) / CB8, "N/A")</f>
        <v>0</v>
      </c>
      <c r="CD8" s="10">
        <f ca="1">TODAY() - WEEKDAY(TODAY(), 2) - 2</f>
        <v>45576</v>
      </c>
      <c r="CE8" s="11" cm="1" vm="108">
        <f t="array" aca="1" ref="CE8" ca="1">IFERROR(_xlfn.STOCKHISTORY(P8, WORKDAY(CD8, 0), WORKDAY(CD8, 0), 0, 0, 1), "N/A")</f>
        <v>71.67</v>
      </c>
      <c r="CF8" s="12">
        <f ca="1">IF(CE8&lt;&gt;0, (AU8 - CE8) / CE8, "N/A")</f>
        <v>1.116227152225454E-3</v>
      </c>
      <c r="CG8" s="7"/>
      <c r="CH8" s="2"/>
    </row>
    <row r="9" spans="1:116" x14ac:dyDescent="0.4">
      <c r="B9" s="6" t="str">
        <f ca="1">P9 &amp; " - " &amp; S9</f>
        <v>CIBR - FT II:Nsdq Cybersecurity</v>
      </c>
      <c r="C9" s="6"/>
      <c r="D9" s="6" cm="1">
        <f t="array" aca="1" ref="D9" ca="1">_FV(O9,"Änderung (%)",TRUE)</f>
        <v>9.5969999999999996E-4</v>
      </c>
      <c r="E9" s="6">
        <f ca="1">_xlfn.RANK.EQ(D9, D:D, 1) / COUNT(D:D)</f>
        <v>0.36363636363636365</v>
      </c>
      <c r="F9" s="6">
        <f ca="1">PERCENTRANK(AV9:BT9,BT9)</f>
        <v>1</v>
      </c>
      <c r="G9" s="6">
        <f ca="1">IF(CE9&lt;&gt;0, (AU9 - CE9) / CE9, "N/A")</f>
        <v>9.5969289827247544E-4</v>
      </c>
      <c r="H9" s="6">
        <f ca="1">(AU9/AP9-1)</f>
        <v>5.7809330628803224E-2</v>
      </c>
      <c r="I9" s="6">
        <f ca="1">IF(BW9&lt;&gt;0, (AU9 -BW9) / BW9, "N/A")</f>
        <v>5.6559176093196044E-2</v>
      </c>
      <c r="J9" s="6">
        <f ca="1">_xlfn.RANK.EQ(I9, I:I, 1) / COUNT(I:I)</f>
        <v>0.94545454545454544</v>
      </c>
      <c r="K9" s="6">
        <f ca="1">IFERROR((AU9/X9-1), "Error")</f>
        <v>0.10079155672823203</v>
      </c>
      <c r="L9" s="6">
        <f ca="1">_xlfn.RANK.EQ(K9, K:K, 1) / COUNT(K:K)</f>
        <v>0.69090909090909092</v>
      </c>
      <c r="M9" s="6"/>
      <c r="N9" s="6">
        <f ca="1">IF(BW9&lt;&gt;0, (AU9 -BW9) / BW9, "N/A")</f>
        <v>5.6559176093196044E-2</v>
      </c>
      <c r="O9" s="2" t="e" vm="110">
        <v>#VALUE!</v>
      </c>
      <c r="P9" s="14" t="s">
        <v>28</v>
      </c>
      <c r="Q9" s="2" t="str">
        <f>P9 &amp; ""</f>
        <v>CIBR</v>
      </c>
      <c r="R9" s="14" t="s">
        <v>71</v>
      </c>
      <c r="S9" s="2" t="str" cm="1">
        <f t="array" aca="1" ref="S9" ca="1">_FV(O9,"Name")</f>
        <v>FT II:Nsdq Cybersecurity</v>
      </c>
      <c r="T9" s="2" t="str" cm="1">
        <f t="array" aca="1" ref="T9" ca="1">_FV(O9,"Name")</f>
        <v>FT II:Nsdq Cybersecurity</v>
      </c>
      <c r="U9" s="2" cm="1" vm="111">
        <f t="array" aca="1" ref="U9:AU9" ca="1">TRANSPOSE(_xlfn.STOCKHISTORY(P9, WORKDAY(TODAY(), -27), TODAY(), 0, 0, 1))</f>
        <v>55.39</v>
      </c>
      <c r="V9" s="2" vm="112">
        <f ca="1"/>
        <v>55.7</v>
      </c>
      <c r="W9" s="2" vm="113">
        <f ca="1"/>
        <v>56.18</v>
      </c>
      <c r="X9" s="2" vm="114">
        <f ca="1"/>
        <v>56.85</v>
      </c>
      <c r="Y9" s="2" vm="115">
        <f ca="1"/>
        <v>57.53</v>
      </c>
      <c r="Z9" s="2" vm="116">
        <f ca="1"/>
        <v>57.97</v>
      </c>
      <c r="AA9" s="2" vm="117">
        <f ca="1"/>
        <v>58.25</v>
      </c>
      <c r="AB9" s="2" vm="118">
        <f ca="1"/>
        <v>57.86</v>
      </c>
      <c r="AC9" s="2" vm="119">
        <f ca="1"/>
        <v>57.32</v>
      </c>
      <c r="AD9" s="2" vm="120">
        <f ca="1"/>
        <v>58.53</v>
      </c>
      <c r="AE9" s="2" vm="121">
        <f ca="1"/>
        <v>59.3</v>
      </c>
      <c r="AF9" s="2" vm="122">
        <f ca="1"/>
        <v>59.55</v>
      </c>
      <c r="AG9" s="2" vm="123">
        <f ca="1"/>
        <v>59.66</v>
      </c>
      <c r="AH9" s="2" vm="124">
        <f ca="1"/>
        <v>59.26</v>
      </c>
      <c r="AI9" s="2" vm="125">
        <f ca="1"/>
        <v>59.43</v>
      </c>
      <c r="AJ9" s="2" vm="126">
        <f ca="1"/>
        <v>59.18</v>
      </c>
      <c r="AK9" s="2" vm="127">
        <f ca="1"/>
        <v>59.23</v>
      </c>
      <c r="AL9" s="2" vm="128">
        <f ca="1"/>
        <v>58.36</v>
      </c>
      <c r="AM9" s="2" vm="129">
        <f ca="1"/>
        <v>58.72</v>
      </c>
      <c r="AN9" s="2" vm="130">
        <f ca="1"/>
        <v>58.81</v>
      </c>
      <c r="AO9" s="2" vm="131">
        <f ca="1"/>
        <v>59.78</v>
      </c>
      <c r="AP9" s="2" vm="132">
        <f ca="1"/>
        <v>59.16</v>
      </c>
      <c r="AQ9" s="2" vm="133">
        <f ca="1"/>
        <v>60.27</v>
      </c>
      <c r="AR9" s="2" vm="134">
        <f ca="1"/>
        <v>61.38</v>
      </c>
      <c r="AS9" s="2" vm="135">
        <f ca="1"/>
        <v>62.12</v>
      </c>
      <c r="AT9" s="2" vm="136">
        <f ca="1"/>
        <v>62.52</v>
      </c>
      <c r="AU9" s="2" vm="137">
        <f ca="1"/>
        <v>62.58</v>
      </c>
      <c r="AV9" s="2">
        <f ca="1">U9/U$4</f>
        <v>0.10250573691612999</v>
      </c>
      <c r="AW9" s="2">
        <f ca="1">V9/V$4</f>
        <v>0.1019381050859245</v>
      </c>
      <c r="AX9" s="2">
        <f ca="1">W9/W$4</f>
        <v>0.10237067001949744</v>
      </c>
      <c r="AY9" s="2">
        <f ca="1">X9/X$4</f>
        <v>0.10253959092384836</v>
      </c>
      <c r="AZ9" s="2">
        <f ca="1">Y9/Y$4</f>
        <v>0.10289935430789318</v>
      </c>
      <c r="BA9" s="2">
        <f ca="1">Z9/Z$4</f>
        <v>0.10314763082507429</v>
      </c>
      <c r="BB9" s="2">
        <f ca="1">AA9/AA$4</f>
        <v>0.10349299978679553</v>
      </c>
      <c r="BC9" s="2">
        <f ca="1">AB9/AB$4</f>
        <v>0.10275809402028166</v>
      </c>
      <c r="BD9" s="2">
        <f ca="1">AC9/AC$4</f>
        <v>0.10210188813680086</v>
      </c>
      <c r="BE9" s="2">
        <f ca="1">AD9/AD$4</f>
        <v>0.10250796875547305</v>
      </c>
      <c r="BF9" s="2">
        <f ca="1">AE9/AE$4</f>
        <v>0.10435547734271887</v>
      </c>
      <c r="BG9" s="2">
        <f ca="1">AF9/AF$4</f>
        <v>0.10453420401284955</v>
      </c>
      <c r="BH9" s="2">
        <f ca="1">AG9/AG$4</f>
        <v>0.10442849641169263</v>
      </c>
      <c r="BI9" s="2">
        <f ca="1">AH9/AH$4</f>
        <v>0.10395761700933268</v>
      </c>
      <c r="BJ9" s="2">
        <f ca="1">AI9/AI$4</f>
        <v>0.10384413769002272</v>
      </c>
      <c r="BK9" s="2">
        <f ca="1">AJ9/AJ$4</f>
        <v>0.10355749208182406</v>
      </c>
      <c r="BL9" s="2">
        <f ca="1">AK9/AK$4</f>
        <v>0.10323131622978249</v>
      </c>
      <c r="BM9" s="2">
        <f ca="1">AL9/AL$4</f>
        <v>0.10263444831346066</v>
      </c>
      <c r="BN9" s="2">
        <f ca="1">AM9/AM$4</f>
        <v>0.10322399184333579</v>
      </c>
      <c r="BO9" s="2">
        <f ca="1">AN9/AN$4</f>
        <v>0.10357155436582015</v>
      </c>
      <c r="BP9" s="2">
        <f ca="1">AO9/AO$4</f>
        <v>0.10433173932772523</v>
      </c>
      <c r="BQ9" s="2">
        <f ca="1">AP9/AP$4</f>
        <v>0.10419161676646707</v>
      </c>
      <c r="BR9" s="2">
        <f ca="1">AQ9/AQ$4</f>
        <v>0.1051520491302755</v>
      </c>
      <c r="BS9" s="2">
        <f ca="1">AR9/AR$4</f>
        <v>0.106352011643622</v>
      </c>
      <c r="BT9" s="2">
        <f ca="1">AS9/AS$4</f>
        <v>0.10782288719559821</v>
      </c>
      <c r="BU9" s="2"/>
      <c r="BV9" s="2">
        <f ca="1">EOMONTH(TODAY(), -1)</f>
        <v>45565</v>
      </c>
      <c r="BW9" s="2" cm="1" vm="127">
        <f t="array" aca="1" ref="BW9" ca="1">_xlfn.STOCKHISTORY(P9,BV9, BV9, 0, 0, 1)</f>
        <v>59.23</v>
      </c>
      <c r="BX9" s="7">
        <f ca="1">IF(BW9&lt;&gt;0, (AU9 -BW9) / BW9, "N/A")</f>
        <v>5.6559176093196044E-2</v>
      </c>
      <c r="BY9" s="7"/>
      <c r="BZ9" s="7"/>
      <c r="CA9" s="8">
        <f ca="1">TODAY() - WEEKDAY(TODAY(), 2) + 1</f>
        <v>45579</v>
      </c>
      <c r="CB9" s="7" cm="1" vm="137">
        <f t="array" aca="1" ref="CB9" ca="1">IFERROR(_xlfn.STOCKHISTORY(P9, WORKDAY(CA9, 0), WORKDAY(CA9, 0), 0, 0, 1), "N/A")</f>
        <v>62.58</v>
      </c>
      <c r="CC9" s="9">
        <f ca="1">IF(CB9&lt;&gt;0, (AU9 - CB9) / CB9, "N/A")</f>
        <v>0</v>
      </c>
      <c r="CD9" s="10">
        <f ca="1">TODAY() - WEEKDAY(TODAY(), 2) - 2</f>
        <v>45576</v>
      </c>
      <c r="CE9" s="11" cm="1" vm="136">
        <f t="array" aca="1" ref="CE9" ca="1">IFERROR(_xlfn.STOCKHISTORY(P9, WORKDAY(CD9, 0), WORKDAY(CD9, 0), 0, 0, 1), "N/A")</f>
        <v>62.52</v>
      </c>
      <c r="CF9" s="12">
        <f ca="1">IF(CE9&lt;&gt;0, (AU9 - CE9) / CE9, "N/A")</f>
        <v>9.5969289827247544E-4</v>
      </c>
      <c r="CG9" s="7"/>
      <c r="CH9" s="2"/>
    </row>
    <row r="10" spans="1:116" x14ac:dyDescent="0.4">
      <c r="A10" s="1"/>
      <c r="B10" s="6" t="str">
        <f ca="1">P10 &amp; " - " &amp; S10</f>
        <v>SMH - VanEck:Semiconductor</v>
      </c>
      <c r="C10" s="6"/>
      <c r="D10" s="6" cm="1">
        <f t="array" aca="1" ref="D10" ca="1">_FV(O10,"Änderung (%)",TRUE)</f>
        <v>1.7881000000000001E-2</v>
      </c>
      <c r="E10" s="6">
        <f ca="1">_xlfn.RANK.EQ(D10, D:D, 1) / COUNT(D:D)</f>
        <v>0.92727272727272725</v>
      </c>
      <c r="F10" s="6">
        <f ca="1">PERCENTRANK(AV10:BT10,BT10)</f>
        <v>0.95799999999999996</v>
      </c>
      <c r="G10" s="6">
        <f ca="1">IF(CE10&lt;&gt;0, (AU10 - CE10) / CE10, "N/A")</f>
        <v>1.7881491292999239E-2</v>
      </c>
      <c r="H10" s="6">
        <f ca="1">(AU10/AP10-1)</f>
        <v>5.2614616066392506E-2</v>
      </c>
      <c r="I10" s="6">
        <f ca="1">IF(BW10&lt;&gt;0, (AU10 -BW10) / BW10, "N/A")</f>
        <v>6.4493786921979976E-2</v>
      </c>
      <c r="J10" s="6">
        <f ca="1">_xlfn.RANK.EQ(I10, I:I, 1) / COUNT(I:I)</f>
        <v>0.98181818181818181</v>
      </c>
      <c r="K10" s="6">
        <f ca="1">IFERROR((AU10/X10-1), "Error")</f>
        <v>0.1194515852613538</v>
      </c>
      <c r="L10" s="6">
        <f ca="1">_xlfn.RANK.EQ(K10, K:K, 1) / COUNT(K:K)</f>
        <v>0.8</v>
      </c>
      <c r="M10" s="6"/>
      <c r="N10" s="6">
        <f ca="1">IF(BW10&lt;&gt;0, (AU10 -BW10) / BW10, "N/A")</f>
        <v>6.4493786921979976E-2</v>
      </c>
      <c r="O10" s="2" t="e" vm="138">
        <v>#VALUE!</v>
      </c>
      <c r="P10" s="2" t="str" cm="1">
        <f t="array" aca="1" ref="P10" ca="1">_FV(O10,"Ticker-Symbol",TRUE)</f>
        <v>SMH</v>
      </c>
      <c r="Q10" s="2" t="str">
        <f ca="1">P10 &amp; ""</f>
        <v>SMH</v>
      </c>
      <c r="R10" s="14" t="s">
        <v>71</v>
      </c>
      <c r="S10" s="2" t="str" cm="1">
        <f t="array" aca="1" ref="S10" ca="1">_FV(O10,"Name")</f>
        <v>VanEck:Semiconductor</v>
      </c>
      <c r="T10" s="2" t="str" cm="1">
        <f t="array" aca="1" ref="T10" ca="1">_FV(O10,"Name")</f>
        <v>VanEck:Semiconductor</v>
      </c>
      <c r="U10" s="2" cm="1" vm="139">
        <f t="array" aca="1" ref="U10:AU10" ca="1">TRANSPOSE(_xlfn.STOCKHISTORY(P10, WORKDAY(TODAY(), -27), TODAY(), 0, 0, 1))</f>
        <v>215</v>
      </c>
      <c r="V10" s="2" vm="140">
        <f ca="1"/>
        <v>219.86</v>
      </c>
      <c r="W10" s="2" vm="141">
        <f ca="1"/>
        <v>221.94</v>
      </c>
      <c r="X10" s="2" vm="142">
        <f ca="1"/>
        <v>233.4</v>
      </c>
      <c r="Y10" s="2" vm="143">
        <f ca="1"/>
        <v>233.9</v>
      </c>
      <c r="Z10" s="2" vm="144">
        <f ca="1"/>
        <v>236.91</v>
      </c>
      <c r="AA10" s="2" vm="145">
        <f ca="1"/>
        <v>233.8</v>
      </c>
      <c r="AB10" s="2" vm="146">
        <f ca="1"/>
        <v>233.72</v>
      </c>
      <c r="AC10" s="2" vm="147">
        <f ca="1"/>
        <v>231.06</v>
      </c>
      <c r="AD10" s="2" vm="148">
        <f ca="1"/>
        <v>241.09</v>
      </c>
      <c r="AE10" s="2" vm="149">
        <f ca="1"/>
        <v>237.9</v>
      </c>
      <c r="AF10" s="2" vm="150">
        <f ca="1"/>
        <v>238.95</v>
      </c>
      <c r="AG10" s="2" vm="151">
        <f ca="1"/>
        <v>243.4</v>
      </c>
      <c r="AH10" s="2" vm="152">
        <f ca="1"/>
        <v>245.54</v>
      </c>
      <c r="AI10" s="2" vm="153">
        <f ca="1"/>
        <v>252.62</v>
      </c>
      <c r="AJ10" s="2" vm="154">
        <f ca="1"/>
        <v>247.74</v>
      </c>
      <c r="AK10" s="2" vm="155">
        <f ca="1"/>
        <v>245.45</v>
      </c>
      <c r="AL10" s="2" vm="156">
        <f ca="1"/>
        <v>238.88</v>
      </c>
      <c r="AM10" s="2" vm="157">
        <f ca="1"/>
        <v>242.32</v>
      </c>
      <c r="AN10" s="2" vm="158">
        <f ca="1"/>
        <v>244.55</v>
      </c>
      <c r="AO10" s="2" vm="159">
        <f ca="1"/>
        <v>247.82</v>
      </c>
      <c r="AP10" s="2" vm="160">
        <f ca="1"/>
        <v>248.22</v>
      </c>
      <c r="AQ10" s="2" vm="161">
        <f ca="1"/>
        <v>252.52</v>
      </c>
      <c r="AR10" s="2" vm="162">
        <f ca="1"/>
        <v>255.15</v>
      </c>
      <c r="AS10" s="2" vm="163">
        <f ca="1"/>
        <v>254.65</v>
      </c>
      <c r="AT10" s="2" vm="164">
        <f ca="1"/>
        <v>256.69</v>
      </c>
      <c r="AU10" s="2" vm="165">
        <f ca="1"/>
        <v>261.27999999999997</v>
      </c>
      <c r="AV10" s="2">
        <f ca="1">U10/U$4</f>
        <v>0.39788289288622397</v>
      </c>
      <c r="AW10" s="2">
        <f ca="1">V10/V$4</f>
        <v>0.40237184531761866</v>
      </c>
      <c r="AX10" s="2">
        <f ca="1">W10/W$4</f>
        <v>0.40441699010550486</v>
      </c>
      <c r="AY10" s="2">
        <f ca="1">X10/X$4</f>
        <v>0.42098048410951988</v>
      </c>
      <c r="AZ10" s="2">
        <f ca="1">Y10/Y$4</f>
        <v>0.41835840383480299</v>
      </c>
      <c r="BA10" s="2">
        <f ca="1">Z10/Z$4</f>
        <v>0.42154054198323876</v>
      </c>
      <c r="BB10" s="2">
        <f ca="1">AA10/AA$4</f>
        <v>0.41539336223438278</v>
      </c>
      <c r="BC10" s="2">
        <f ca="1">AB10/AB$4</f>
        <v>0.41508160619461165</v>
      </c>
      <c r="BD10" s="2">
        <f ca="1">AC10/AC$4</f>
        <v>0.41157819736373352</v>
      </c>
      <c r="BE10" s="2">
        <f ca="1">AD10/AD$4</f>
        <v>0.4222389575817016</v>
      </c>
      <c r="BF10" s="2">
        <f ca="1">AE10/AE$4</f>
        <v>0.41865376154861417</v>
      </c>
      <c r="BG10" s="2">
        <f ca="1">AF10/AF$4</f>
        <v>0.41945336773921743</v>
      </c>
      <c r="BH10" s="2">
        <f ca="1">AG10/AG$4</f>
        <v>0.42604586031857172</v>
      </c>
      <c r="BI10" s="2">
        <f ca="1">AH10/AH$4</f>
        <v>0.43074170233667813</v>
      </c>
      <c r="BJ10" s="2">
        <f ca="1">AI10/AI$4</f>
        <v>0.44141184693342655</v>
      </c>
      <c r="BK10" s="2">
        <f ca="1">AJ10/AJ$4</f>
        <v>0.43351357026615572</v>
      </c>
      <c r="BL10" s="2">
        <f ca="1">AK10/AK$4</f>
        <v>0.4277921081985499</v>
      </c>
      <c r="BM10" s="2">
        <f ca="1">AL10/AL$4</f>
        <v>0.42010481516654358</v>
      </c>
      <c r="BN10" s="2">
        <f ca="1">AM10/AM$4</f>
        <v>0.42597475653060507</v>
      </c>
      <c r="BO10" s="2">
        <f ca="1">AN10/AN$4</f>
        <v>0.43068225846218872</v>
      </c>
      <c r="BP10" s="2">
        <f ca="1">AO10/AO$4</f>
        <v>0.43251073335893048</v>
      </c>
      <c r="BQ10" s="2">
        <f ca="1">AP10/AP$4</f>
        <v>0.43716097217330047</v>
      </c>
      <c r="BR10" s="2">
        <f ca="1">AQ10/AQ$4</f>
        <v>0.44056737093706932</v>
      </c>
      <c r="BS10" s="2">
        <f ca="1">AR10/AR$4</f>
        <v>0.44209377274144923</v>
      </c>
      <c r="BT10" s="2">
        <f ca="1">AS10/AS$4</f>
        <v>0.44200093728845924</v>
      </c>
      <c r="BU10" s="2"/>
      <c r="BV10" s="2">
        <f ca="1">EOMONTH(TODAY(), -1)</f>
        <v>45565</v>
      </c>
      <c r="BW10" s="2" cm="1" vm="155">
        <f t="array" aca="1" ref="BW10" ca="1">_xlfn.STOCKHISTORY(P10,BV10, BV10, 0, 0, 1)</f>
        <v>245.45</v>
      </c>
      <c r="BX10" s="7">
        <f ca="1">IF(BW10&lt;&gt;0, (AU10 -BW10) / BW10, "N/A")</f>
        <v>6.4493786921979976E-2</v>
      </c>
      <c r="BY10" s="7"/>
      <c r="BZ10" s="7"/>
      <c r="CA10" s="8">
        <f ca="1">TODAY() - WEEKDAY(TODAY(), 2) + 1</f>
        <v>45579</v>
      </c>
      <c r="CB10" s="7" cm="1" vm="165">
        <f t="array" aca="1" ref="CB10" ca="1">IFERROR(_xlfn.STOCKHISTORY(P10, WORKDAY(CA10, 0), WORKDAY(CA10, 0), 0, 0, 1), "N/A")</f>
        <v>261.27999999999997</v>
      </c>
      <c r="CC10" s="9">
        <f ca="1">IF(CB10&lt;&gt;0, (AU10 - CB10) / CB10, "N/A")</f>
        <v>0</v>
      </c>
      <c r="CD10" s="10">
        <f ca="1">TODAY() - WEEKDAY(TODAY(), 2) - 2</f>
        <v>45576</v>
      </c>
      <c r="CE10" s="11" cm="1" vm="164">
        <f t="array" aca="1" ref="CE10" ca="1">IFERROR(_xlfn.STOCKHISTORY(P10, WORKDAY(CD10, 0), WORKDAY(CD10, 0), 0, 0, 1), "N/A")</f>
        <v>256.69</v>
      </c>
      <c r="CF10" s="12">
        <f ca="1">IF(CE10&lt;&gt;0, (AU10 - CE10) / CE10, "N/A")</f>
        <v>1.7881491292999239E-2</v>
      </c>
      <c r="CG10" s="7"/>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row>
    <row r="11" spans="1:116" x14ac:dyDescent="0.4">
      <c r="A11" s="1"/>
      <c r="B11" s="6" t="str">
        <f ca="1">P11 &amp; " - " &amp; S11</f>
        <v>SKYY - FT II:Cloud Computing</v>
      </c>
      <c r="C11" s="6"/>
      <c r="D11" s="6" cm="1">
        <f t="array" aca="1" ref="D11" ca="1">_FV(O11,"Änderung (%)",TRUE)</f>
        <v>2.2570000000000003E-3</v>
      </c>
      <c r="E11" s="6">
        <f ca="1">_xlfn.RANK.EQ(D11, D:D, 1) / COUNT(D:D)</f>
        <v>0.49090909090909091</v>
      </c>
      <c r="F11" s="6">
        <f ca="1">PERCENTRANK(AV11:BT11,BT11)</f>
        <v>1</v>
      </c>
      <c r="G11" s="6">
        <f ca="1">IF(CE11&lt;&gt;0, (AU11 - CE11) / CE11, "N/A")</f>
        <v>2.2566995768689151E-3</v>
      </c>
      <c r="H11" s="6">
        <f ca="1">(AU11/AP11-1)</f>
        <v>5.0044330607821763E-2</v>
      </c>
      <c r="I11" s="6">
        <f ca="1">IF(BW11&lt;&gt;0, (AU11 -BW11) / BW11, "N/A")</f>
        <v>4.2343047134754529E-2</v>
      </c>
      <c r="J11" s="6">
        <f ca="1">_xlfn.RANK.EQ(I11, I:I, 1) / COUNT(I:I)</f>
        <v>0.87272727272727268</v>
      </c>
      <c r="K11" s="6">
        <f ca="1">IFERROR((AU11/X11-1), "Error")</f>
        <v>0.10627919045147904</v>
      </c>
      <c r="L11" s="6">
        <f ca="1">_xlfn.RANK.EQ(K11, K:K, 1) / COUNT(K:K)</f>
        <v>0.72727272727272729</v>
      </c>
      <c r="M11" s="6"/>
      <c r="N11" s="6">
        <f ca="1">IF(BW11&lt;&gt;0, (AU11 -BW11) / BW11, "N/A")</f>
        <v>4.2343047134754529E-2</v>
      </c>
      <c r="O11" s="2" t="e" vm="166">
        <v>#VALUE!</v>
      </c>
      <c r="P11" s="2" t="str" cm="1">
        <f t="array" aca="1" ref="P11" ca="1">_FV(O11,"Ticker-Symbol",TRUE)</f>
        <v>SKYY</v>
      </c>
      <c r="Q11" s="2" t="str">
        <f ca="1">P11 &amp; ""</f>
        <v>SKYY</v>
      </c>
      <c r="R11" s="14" t="s">
        <v>71</v>
      </c>
      <c r="S11" s="2" t="str" cm="1">
        <f t="array" aca="1" ref="S11" ca="1">_FV(O11,"Name")</f>
        <v>FT II:Cloud Computing</v>
      </c>
      <c r="T11" s="2" t="str" cm="1">
        <f t="array" aca="1" ref="T11" ca="1">_FV(O11,"Name")</f>
        <v>FT II:Cloud Computing</v>
      </c>
      <c r="U11" s="2" cm="1" vm="167">
        <f t="array" aca="1" ref="U11:AU11" ca="1">TRANSPOSE(_xlfn.STOCKHISTORY(P11, WORKDAY(TODAY(), -27), TODAY(), 0, 0, 1))</f>
        <v>93.47</v>
      </c>
      <c r="V11" s="2" vm="168">
        <f ca="1"/>
        <v>94.16</v>
      </c>
      <c r="W11" s="2" vm="169">
        <f ca="1"/>
        <v>94.58</v>
      </c>
      <c r="X11" s="2" vm="170">
        <f ca="1"/>
        <v>96.35</v>
      </c>
      <c r="Y11" s="2" vm="171">
        <f ca="1"/>
        <v>97.72</v>
      </c>
      <c r="Z11" s="2" vm="172">
        <f ca="1"/>
        <v>98.43</v>
      </c>
      <c r="AA11" s="2" vm="173">
        <f ca="1"/>
        <v>99.36</v>
      </c>
      <c r="AB11" s="2" vm="174">
        <f ca="1"/>
        <v>99.33</v>
      </c>
      <c r="AC11" s="2" vm="175">
        <f ca="1"/>
        <v>99.09</v>
      </c>
      <c r="AD11" s="2" vm="176">
        <f ca="1"/>
        <v>101.37</v>
      </c>
      <c r="AE11" s="2" vm="177">
        <f ca="1"/>
        <v>101.8</v>
      </c>
      <c r="AF11" s="2" vm="178">
        <f ca="1"/>
        <v>102.21</v>
      </c>
      <c r="AG11" s="2" vm="179">
        <f ca="1"/>
        <v>102.35</v>
      </c>
      <c r="AH11" s="2" vm="180">
        <f ca="1"/>
        <v>101.96</v>
      </c>
      <c r="AI11" s="2" vm="181">
        <f ca="1"/>
        <v>102.48</v>
      </c>
      <c r="AJ11" s="2" vm="182">
        <f ca="1"/>
        <v>102.08</v>
      </c>
      <c r="AK11" s="2" vm="183">
        <f ca="1"/>
        <v>102.26</v>
      </c>
      <c r="AL11" s="2" vm="184">
        <f ca="1"/>
        <v>99.98</v>
      </c>
      <c r="AM11" s="2" vm="185">
        <f ca="1"/>
        <v>100.88</v>
      </c>
      <c r="AN11" s="2" vm="186">
        <f ca="1"/>
        <v>100.74</v>
      </c>
      <c r="AO11" s="2" vm="187">
        <f ca="1"/>
        <v>103.19</v>
      </c>
      <c r="AP11" s="2" vm="188">
        <f ca="1"/>
        <v>101.51</v>
      </c>
      <c r="AQ11" s="2" vm="189">
        <f ca="1"/>
        <v>102.81</v>
      </c>
      <c r="AR11" s="2" vm="190">
        <f ca="1"/>
        <v>104.52</v>
      </c>
      <c r="AS11" s="2" vm="191">
        <f ca="1"/>
        <v>105.76</v>
      </c>
      <c r="AT11" s="2" vm="192">
        <f ca="1"/>
        <v>106.35</v>
      </c>
      <c r="AU11" s="2" vm="193">
        <f ca="1"/>
        <v>106.59</v>
      </c>
      <c r="AV11" s="2">
        <f ca="1">U11/U$4</f>
        <v>0.17297727440965283</v>
      </c>
      <c r="AW11" s="2">
        <f ca="1">V11/V$4</f>
        <v>0.17232481103932945</v>
      </c>
      <c r="AX11" s="2">
        <f ca="1">W11/W$4</f>
        <v>0.1723427905027424</v>
      </c>
      <c r="AY11" s="2">
        <f ca="1">X11/X$4</f>
        <v>0.17378521698351432</v>
      </c>
      <c r="AZ11" s="2">
        <f ca="1">Y11/Y$4</f>
        <v>0.17478402403906346</v>
      </c>
      <c r="BA11" s="2">
        <f ca="1">Z11/Z$4</f>
        <v>0.17513923239800006</v>
      </c>
      <c r="BB11" s="2">
        <f ca="1">AA11/AA$4</f>
        <v>0.17653329543031768</v>
      </c>
      <c r="BC11" s="2">
        <f ca="1">AB11/AB$4</f>
        <v>0.17640790665459</v>
      </c>
      <c r="BD11" s="2">
        <f ca="1">AC11/AC$4</f>
        <v>0.17650516565728538</v>
      </c>
      <c r="BE11" s="2">
        <f ca="1">AD11/AD$4</f>
        <v>0.17753686644015551</v>
      </c>
      <c r="BF11" s="2">
        <f ca="1">AE11/AE$4</f>
        <v>0.17914650241970964</v>
      </c>
      <c r="BG11" s="2">
        <f ca="1">AF11/AF$4</f>
        <v>0.17941966401600928</v>
      </c>
      <c r="BH11" s="2">
        <f ca="1">AG11/AG$4</f>
        <v>0.17915280938211098</v>
      </c>
      <c r="BI11" s="2">
        <f ca="1">AH11/AH$4</f>
        <v>0.1788646410778191</v>
      </c>
      <c r="BJ11" s="2">
        <f ca="1">AI11/AI$4</f>
        <v>0.1790669229425127</v>
      </c>
      <c r="BK11" s="2">
        <f ca="1">AJ11/AJ$4</f>
        <v>0.17862704953890843</v>
      </c>
      <c r="BL11" s="2">
        <f ca="1">AK11/AK$4</f>
        <v>0.17822783045175683</v>
      </c>
      <c r="BM11" s="2">
        <f ca="1">AL11/AL$4</f>
        <v>0.17582920052055856</v>
      </c>
      <c r="BN11" s="2">
        <f ca="1">AM11/AM$4</f>
        <v>0.17733713040115318</v>
      </c>
      <c r="BO11" s="2">
        <f ca="1">AN11/AN$4</f>
        <v>0.17741537811278218</v>
      </c>
      <c r="BP11" s="2">
        <f ca="1">AO11/AO$4</f>
        <v>0.18009354602254876</v>
      </c>
      <c r="BQ11" s="2">
        <f ca="1">AP11/AP$4</f>
        <v>0.17877773864036636</v>
      </c>
      <c r="BR11" s="2">
        <f ca="1">AQ11/AQ$4</f>
        <v>0.17937086728195825</v>
      </c>
      <c r="BS11" s="2">
        <f ca="1">AR11/AR$4</f>
        <v>0.18109990643518037</v>
      </c>
      <c r="BT11" s="2">
        <f ca="1">AS11/AS$4</f>
        <v>0.18356968045406419</v>
      </c>
      <c r="BU11" s="2"/>
      <c r="BV11" s="2">
        <f ca="1">EOMONTH(TODAY(), -1)</f>
        <v>45565</v>
      </c>
      <c r="BW11" s="2" cm="1" vm="183">
        <f t="array" aca="1" ref="BW11" ca="1">_xlfn.STOCKHISTORY(P11,BV11, BV11, 0, 0, 1)</f>
        <v>102.26</v>
      </c>
      <c r="BX11" s="7">
        <f ca="1">IF(BW11&lt;&gt;0, (AU11 -BW11) / BW11, "N/A")</f>
        <v>4.2343047134754529E-2</v>
      </c>
      <c r="BY11" s="7"/>
      <c r="BZ11" s="7"/>
      <c r="CA11" s="8">
        <f ca="1">TODAY() - WEEKDAY(TODAY(), 2) + 1</f>
        <v>45579</v>
      </c>
      <c r="CB11" s="7" cm="1" vm="193">
        <f t="array" aca="1" ref="CB11" ca="1">IFERROR(_xlfn.STOCKHISTORY(P11, WORKDAY(CA11, 0), WORKDAY(CA11, 0), 0, 0, 1), "N/A")</f>
        <v>106.59</v>
      </c>
      <c r="CC11" s="9">
        <f ca="1">IF(CB11&lt;&gt;0, (AU11 - CB11) / CB11, "N/A")</f>
        <v>0</v>
      </c>
      <c r="CD11" s="10">
        <f ca="1">TODAY() - WEEKDAY(TODAY(), 2) - 2</f>
        <v>45576</v>
      </c>
      <c r="CE11" s="11" cm="1" vm="192">
        <f t="array" aca="1" ref="CE11" ca="1">IFERROR(_xlfn.STOCKHISTORY(P11, WORKDAY(CD11, 0), WORKDAY(CD11, 0), 0, 0, 1), "N/A")</f>
        <v>106.35</v>
      </c>
      <c r="CF11" s="12">
        <f ca="1">IF(CE11&lt;&gt;0, (AU11 - CE11) / CE11, "N/A")</f>
        <v>2.2566995768689151E-3</v>
      </c>
      <c r="CG11" s="7"/>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row>
    <row r="12" spans="1:116" x14ac:dyDescent="0.4">
      <c r="B12" s="6" t="str">
        <f ca="1">P12 &amp; " - " &amp; S12</f>
        <v>VGT - Vanguard InfoTch Idx;ETF</v>
      </c>
      <c r="C12" s="6"/>
      <c r="D12" s="6" cm="1">
        <f t="array" aca="1" ref="D12" ca="1">_FV(O12,"Änderung (%)",TRUE)</f>
        <v>1.2391000000000001E-2</v>
      </c>
      <c r="E12" s="6">
        <f ca="1">_xlfn.RANK.EQ(D12, D:D, 1) / COUNT(D:D)</f>
        <v>0.89090909090909087</v>
      </c>
      <c r="F12" s="6">
        <f ca="1">PERCENTRANK(AV12:BT12,BT12)</f>
        <v>1</v>
      </c>
      <c r="G12" s="6">
        <f ca="1">IF(CE12&lt;&gt;0, (AU12 - CE12) / CE12, "N/A")</f>
        <v>1.2390913330224403E-2</v>
      </c>
      <c r="H12" s="6">
        <f ca="1">(AU12/AP12-1)</f>
        <v>4.6553267681289201E-2</v>
      </c>
      <c r="I12" s="6">
        <f ca="1">IF(BW12&lt;&gt;0, (AU12 -BW12) / BW12, "N/A")</f>
        <v>3.6418195457955424E-2</v>
      </c>
      <c r="J12" s="6">
        <f ca="1">_xlfn.RANK.EQ(I12, I:I, 1) / COUNT(I:I)</f>
        <v>0.76363636363636367</v>
      </c>
      <c r="K12" s="6">
        <f ca="1">IFERROR((AU12/X12-1), "Error")</f>
        <v>8.2445956052565883E-2</v>
      </c>
      <c r="L12" s="6">
        <f ca="1">_xlfn.RANK.EQ(K12, K:K, 1) / COUNT(K:K)</f>
        <v>0.45454545454545453</v>
      </c>
      <c r="M12" s="6"/>
      <c r="N12" s="6">
        <f ca="1">IF(BW12&lt;&gt;0, (AU12 -BW12) / BW12, "N/A")</f>
        <v>3.6418195457955424E-2</v>
      </c>
      <c r="O12" s="2" t="e" vm="194">
        <v>#VALUE!</v>
      </c>
      <c r="P12" s="14" t="s">
        <v>36</v>
      </c>
      <c r="Q12" s="2" t="str">
        <f>P12 &amp; ""</f>
        <v>VGT</v>
      </c>
      <c r="R12" s="14" t="s">
        <v>71</v>
      </c>
      <c r="S12" s="2" t="str" cm="1">
        <f t="array" aca="1" ref="S12" ca="1">_FV(O12,"Name")</f>
        <v>Vanguard InfoTch Idx;ETF</v>
      </c>
      <c r="T12" s="2" t="str" cm="1">
        <f t="array" aca="1" ref="T12" ca="1">_FV(O12,"Name")</f>
        <v>Vanguard InfoTch Idx;ETF</v>
      </c>
      <c r="U12" s="2" cm="1" vm="195">
        <f t="array" aca="1" ref="U12:AU12" ca="1">TRANSPOSE(_xlfn.STOCKHISTORY(P12, WORKDAY(TODAY(), -27), TODAY(), 0, 0, 1))</f>
        <v>533.16999999999996</v>
      </c>
      <c r="V12" s="2" vm="196">
        <f ca="1"/>
        <v>540.37</v>
      </c>
      <c r="W12" s="2" vm="197">
        <f ca="1"/>
        <v>545.85</v>
      </c>
      <c r="X12" s="2" vm="198">
        <f ca="1"/>
        <v>561.58000000000004</v>
      </c>
      <c r="Y12" s="2" vm="199">
        <f ca="1"/>
        <v>565.9</v>
      </c>
      <c r="Z12" s="2" vm="200">
        <f ca="1"/>
        <v>569.24</v>
      </c>
      <c r="AA12" s="2" vm="199">
        <f ca="1"/>
        <v>565.9</v>
      </c>
      <c r="AB12" s="2" vm="201">
        <f ca="1"/>
        <v>565.61</v>
      </c>
      <c r="AC12" s="2" vm="202">
        <f ca="1"/>
        <v>563</v>
      </c>
      <c r="AD12" s="2" vm="203">
        <f ca="1"/>
        <v>579.65</v>
      </c>
      <c r="AE12" s="2" vm="204">
        <f ca="1"/>
        <v>577.62</v>
      </c>
      <c r="AF12" s="2" vm="205">
        <f ca="1"/>
        <v>577.41999999999996</v>
      </c>
      <c r="AG12" s="2" vm="206">
        <f ca="1"/>
        <v>582.63</v>
      </c>
      <c r="AH12" s="2" vm="207">
        <f ca="1"/>
        <v>583.02</v>
      </c>
      <c r="AI12" s="2" vm="208">
        <f ca="1"/>
        <v>590.25</v>
      </c>
      <c r="AJ12" s="2" vm="209">
        <f ca="1"/>
        <v>584.96</v>
      </c>
      <c r="AK12" s="2" vm="210">
        <f ca="1"/>
        <v>586.52</v>
      </c>
      <c r="AL12" s="2" vm="211">
        <f ca="1"/>
        <v>571.78</v>
      </c>
      <c r="AM12" s="2" vm="212">
        <f ca="1"/>
        <v>575.38</v>
      </c>
      <c r="AN12" s="2" vm="213">
        <f ca="1"/>
        <v>577.64</v>
      </c>
      <c r="AO12" s="2" vm="214">
        <f ca="1"/>
        <v>585.04</v>
      </c>
      <c r="AP12" s="2" vm="215">
        <f ca="1"/>
        <v>580.84</v>
      </c>
      <c r="AQ12" s="2" vm="216">
        <f ca="1"/>
        <v>591.42999999999995</v>
      </c>
      <c r="AR12" s="2" vm="217">
        <f ca="1"/>
        <v>598.04999999999995</v>
      </c>
      <c r="AS12" s="2" vm="218">
        <f ca="1"/>
        <v>598.59</v>
      </c>
      <c r="AT12" s="2" vm="219">
        <f ca="1"/>
        <v>600.44000000000005</v>
      </c>
      <c r="AU12" s="2" vm="220">
        <f ca="1"/>
        <v>607.88</v>
      </c>
      <c r="AV12" s="2">
        <f ca="1">U12/U$4</f>
        <v>0.98669405581464198</v>
      </c>
      <c r="AW12" s="2">
        <f ca="1">V12/V$4</f>
        <v>0.98894602953825883</v>
      </c>
      <c r="AX12" s="2">
        <f ca="1">W12/W$4</f>
        <v>0.99464275952550163</v>
      </c>
      <c r="AY12" s="2">
        <f ca="1">X12/X$4</f>
        <v>1.0129143970275245</v>
      </c>
      <c r="AZ12" s="2">
        <f ca="1">Y12/Y$4</f>
        <v>1.0121805076105814</v>
      </c>
      <c r="BA12" s="2">
        <f ca="1">Z12/Z$4</f>
        <v>1.0128645397768723</v>
      </c>
      <c r="BB12" s="2">
        <f ca="1">AA12/AA$4</f>
        <v>1.0054367138085423</v>
      </c>
      <c r="BC12" s="2">
        <f ca="1">AB12/AB$4</f>
        <v>1.0045109844246718</v>
      </c>
      <c r="BD12" s="2">
        <f ca="1">AC12/AC$4</f>
        <v>1.0028500178126114</v>
      </c>
      <c r="BE12" s="2">
        <f ca="1">AD12/AD$4</f>
        <v>1.015184419769519</v>
      </c>
      <c r="BF12" s="2">
        <f ca="1">AE12/AE$4</f>
        <v>1.0164892212934449</v>
      </c>
      <c r="BG12" s="2">
        <f ca="1">AF12/AF$4</f>
        <v>1.0136043674407991</v>
      </c>
      <c r="BH12" s="2">
        <f ca="1">AG12/AG$4</f>
        <v>1.0198319621914931</v>
      </c>
      <c r="BI12" s="2">
        <f ca="1">AH12/AH$4</f>
        <v>1.0227703319065329</v>
      </c>
      <c r="BJ12" s="2">
        <f ca="1">AI12/AI$4</f>
        <v>1.031364668879958</v>
      </c>
      <c r="BK12" s="2">
        <f ca="1">AJ12/AJ$4</f>
        <v>1.023605788580328</v>
      </c>
      <c r="BL12" s="2">
        <f ca="1">AK12/AK$4</f>
        <v>1.022239263803681</v>
      </c>
      <c r="BM12" s="2">
        <f ca="1">AL12/AL$4</f>
        <v>1.0055573141992895</v>
      </c>
      <c r="BN12" s="2">
        <f ca="1">AM12/AM$4</f>
        <v>1.0114615195302885</v>
      </c>
      <c r="BO12" s="2">
        <f ca="1">AN12/AN$4</f>
        <v>1.0172942129548095</v>
      </c>
      <c r="BP12" s="2">
        <f ca="1">AO12/AO$4</f>
        <v>1.0210478550734754</v>
      </c>
      <c r="BQ12" s="2">
        <f ca="1">AP12/AP$4</f>
        <v>1.0229658330398028</v>
      </c>
      <c r="BR12" s="2">
        <f ca="1">AQ12/AQ$4</f>
        <v>1.0318579130101018</v>
      </c>
      <c r="BS12" s="2">
        <f ca="1">AR12/AR$4</f>
        <v>1.0362303773781059</v>
      </c>
      <c r="BT12" s="2">
        <f ca="1">AS12/AS$4</f>
        <v>1.0389842570253243</v>
      </c>
      <c r="BU12" s="2"/>
      <c r="BV12" s="2">
        <f ca="1">EOMONTH(TODAY(), -1)</f>
        <v>45565</v>
      </c>
      <c r="BW12" s="2" cm="1" vm="210">
        <f t="array" aca="1" ref="BW12" ca="1">_xlfn.STOCKHISTORY(P12,BV12, BV12, 0, 0, 1)</f>
        <v>586.52</v>
      </c>
      <c r="BX12" s="7">
        <f ca="1">IF(BW12&lt;&gt;0, (AU12 -BW12) / BW12, "N/A")</f>
        <v>3.6418195457955424E-2</v>
      </c>
      <c r="BY12" s="7"/>
      <c r="BZ12" s="7"/>
      <c r="CA12" s="8">
        <f ca="1">TODAY() - WEEKDAY(TODAY(), 2) + 1</f>
        <v>45579</v>
      </c>
      <c r="CB12" s="7" cm="1" vm="220">
        <f t="array" aca="1" ref="CB12" ca="1">IFERROR(_xlfn.STOCKHISTORY(P12, WORKDAY(CA12, 0), WORKDAY(CA12, 0), 0, 0, 1), "N/A")</f>
        <v>607.88</v>
      </c>
      <c r="CC12" s="9">
        <f ca="1">IF(CB12&lt;&gt;0, (AU12 - CB12) / CB12, "N/A")</f>
        <v>0</v>
      </c>
      <c r="CD12" s="10">
        <f ca="1">TODAY() - WEEKDAY(TODAY(), 2) - 2</f>
        <v>45576</v>
      </c>
      <c r="CE12" s="11" cm="1" vm="219">
        <f t="array" aca="1" ref="CE12" ca="1">IFERROR(_xlfn.STOCKHISTORY(P12, WORKDAY(CD12, 0), WORKDAY(CD12, 0), 0, 0, 1), "N/A")</f>
        <v>600.44000000000005</v>
      </c>
      <c r="CF12" s="12">
        <f ca="1">IF(CE12&lt;&gt;0, (AU12 - CE12) / CE12, "N/A")</f>
        <v>1.2390913330224403E-2</v>
      </c>
      <c r="CG12" s="7"/>
      <c r="CH12" s="2"/>
    </row>
    <row r="13" spans="1:116" x14ac:dyDescent="0.4">
      <c r="B13" s="6" t="str">
        <f ca="1">P13 &amp; " - " &amp; S13</f>
        <v>IYW - iShares:US Tech</v>
      </c>
      <c r="C13" s="6"/>
      <c r="D13" s="6" cm="1">
        <f t="array" aca="1" ref="D13" ca="1">_FV(O13,"Änderung (%)",TRUE)</f>
        <v>1.2968E-2</v>
      </c>
      <c r="E13" s="6">
        <f ca="1">_xlfn.RANK.EQ(D13, D:D, 1) / COUNT(D:D)</f>
        <v>0.90909090909090906</v>
      </c>
      <c r="F13" s="6">
        <f ca="1">PERCENTRANK(AV13:BT13,BT13)</f>
        <v>1</v>
      </c>
      <c r="G13" s="6">
        <f ca="1">IF(CE13&lt;&gt;0, (AU13 - CE13) / CE13, "N/A")</f>
        <v>1.2967741935483812E-2</v>
      </c>
      <c r="H13" s="6">
        <f ca="1">(AU13/AP13-1)</f>
        <v>4.4227188081936486E-2</v>
      </c>
      <c r="I13" s="6">
        <f ca="1">IF(BW13&lt;&gt;0, (AU13 -BW13) / BW13, "N/A")</f>
        <v>3.5549399815327704E-2</v>
      </c>
      <c r="J13" s="6">
        <f ca="1">_xlfn.RANK.EQ(I13, I:I, 1) / COUNT(I:I)</f>
        <v>0.70909090909090911</v>
      </c>
      <c r="K13" s="6">
        <f ca="1">IFERROR((AU13/X13-1), "Error")</f>
        <v>8.3500103512524904E-2</v>
      </c>
      <c r="L13" s="6">
        <f ca="1">_xlfn.RANK.EQ(K13, K:K, 1) / COUNT(K:K)</f>
        <v>0.47272727272727272</v>
      </c>
      <c r="M13" s="6"/>
      <c r="N13" s="6">
        <f ca="1">IF(BW13&lt;&gt;0, (AU13 -BW13) / BW13, "N/A")</f>
        <v>3.5549399815327704E-2</v>
      </c>
      <c r="O13" s="2" t="e" vm="221">
        <v>#VALUE!</v>
      </c>
      <c r="P13" s="14" t="s">
        <v>37</v>
      </c>
      <c r="Q13" s="2" t="str">
        <f>P13 &amp; ""</f>
        <v>IYW</v>
      </c>
      <c r="R13" s="14" t="s">
        <v>71</v>
      </c>
      <c r="S13" s="2" t="str" cm="1">
        <f t="array" aca="1" ref="S13" ca="1">_FV(O13,"Name")</f>
        <v>iShares:US Tech</v>
      </c>
      <c r="T13" s="2" t="str" cm="1">
        <f t="array" aca="1" ref="T13" ca="1">_FV(O13,"Name")</f>
        <v>iShares:US Tech</v>
      </c>
      <c r="U13" s="2" cm="1" vm="222">
        <f t="array" aca="1" ref="U13:AU13" ca="1">TRANSPOSE(_xlfn.STOCKHISTORY(P13, WORKDAY(TODAY(), -27), TODAY(), 0, 0, 1))</f>
        <v>137.69999999999999</v>
      </c>
      <c r="V13" s="2" vm="223">
        <f ca="1"/>
        <v>139.41</v>
      </c>
      <c r="W13" s="2" vm="224">
        <f ca="1"/>
        <v>140.94999999999999</v>
      </c>
      <c r="X13" s="2" vm="225">
        <f ca="1"/>
        <v>144.91</v>
      </c>
      <c r="Y13" s="2" vm="226">
        <f ca="1"/>
        <v>146.16</v>
      </c>
      <c r="Z13" s="2" vm="227">
        <f ca="1"/>
        <v>146.94</v>
      </c>
      <c r="AA13" s="2" vm="228">
        <f ca="1"/>
        <v>146.04</v>
      </c>
      <c r="AB13" s="2" vm="229">
        <f ca="1"/>
        <v>146.11000000000001</v>
      </c>
      <c r="AC13" s="2" vm="230">
        <f ca="1"/>
        <v>145.43</v>
      </c>
      <c r="AD13" s="2" vm="231">
        <f ca="1"/>
        <v>149.88999999999999</v>
      </c>
      <c r="AE13" s="2" vm="232">
        <f ca="1"/>
        <v>149.41999999999999</v>
      </c>
      <c r="AF13" s="2" vm="233">
        <f ca="1"/>
        <v>149.26</v>
      </c>
      <c r="AG13" s="2" vm="234">
        <f ca="1"/>
        <v>150.32</v>
      </c>
      <c r="AH13" s="2" vm="235">
        <f ca="1"/>
        <v>150.72999999999999</v>
      </c>
      <c r="AI13" s="2" vm="236">
        <f ca="1"/>
        <v>152.19999999999999</v>
      </c>
      <c r="AJ13" s="2" vm="237">
        <f ca="1"/>
        <v>151.01</v>
      </c>
      <c r="AK13" s="2" vm="238">
        <f ca="1"/>
        <v>151.62</v>
      </c>
      <c r="AL13" s="2" vm="239">
        <f ca="1"/>
        <v>148.13999999999999</v>
      </c>
      <c r="AM13" s="2" vm="240">
        <f ca="1"/>
        <v>149.05000000000001</v>
      </c>
      <c r="AN13" s="2" vm="241">
        <f ca="1"/>
        <v>149.71</v>
      </c>
      <c r="AO13" s="2" vm="242">
        <f ca="1"/>
        <v>151.66</v>
      </c>
      <c r="AP13" s="2" vm="243">
        <f ca="1"/>
        <v>150.36000000000001</v>
      </c>
      <c r="AQ13" s="2" vm="244">
        <f ca="1"/>
        <v>153.15</v>
      </c>
      <c r="AR13" s="2" vm="245">
        <f ca="1"/>
        <v>154.52000000000001</v>
      </c>
      <c r="AS13" s="2" vm="246">
        <f ca="1"/>
        <v>154.62</v>
      </c>
      <c r="AT13" s="2" vm="247">
        <f ca="1"/>
        <v>155</v>
      </c>
      <c r="AU13" s="2" vm="248">
        <f ca="1"/>
        <v>157.01</v>
      </c>
      <c r="AV13" s="2">
        <f ca="1">U13/U$4</f>
        <v>0.25483011325782806</v>
      </c>
      <c r="AW13" s="2">
        <f ca="1">V13/V$4</f>
        <v>0.25513808312439379</v>
      </c>
      <c r="AX13" s="2">
        <f ca="1">W13/W$4</f>
        <v>0.25683777036753586</v>
      </c>
      <c r="AY13" s="2">
        <f ca="1">X13/X$4</f>
        <v>0.26137224486851124</v>
      </c>
      <c r="AZ13" s="2">
        <f ca="1">Y13/Y$4</f>
        <v>0.26142481532490297</v>
      </c>
      <c r="BA13" s="2">
        <f ca="1">Z13/Z$4</f>
        <v>0.26145442251917228</v>
      </c>
      <c r="BB13" s="2">
        <f ca="1">AA13/AA$4</f>
        <v>0.25946983156847414</v>
      </c>
      <c r="BC13" s="2">
        <f ca="1">AB13/AB$4</f>
        <v>0.25948816310583056</v>
      </c>
      <c r="BD13" s="2">
        <f ca="1">AC13/AC$4</f>
        <v>0.25904880655504098</v>
      </c>
      <c r="BE13" s="2">
        <f ca="1">AD13/AD$4</f>
        <v>0.26251357315492657</v>
      </c>
      <c r="BF13" s="2">
        <f ca="1">AE13/AE$4</f>
        <v>0.2629476462824461</v>
      </c>
      <c r="BG13" s="2">
        <f ca="1">AF13/AF$4</f>
        <v>0.26201133989853775</v>
      </c>
      <c r="BH13" s="2">
        <f ca="1">AG13/AG$4</f>
        <v>0.2631192018204096</v>
      </c>
      <c r="BI13" s="2">
        <f ca="1">AH13/AH$4</f>
        <v>0.2644200406988983</v>
      </c>
      <c r="BJ13" s="2">
        <f ca="1">AI13/AI$4</f>
        <v>0.26594443473702606</v>
      </c>
      <c r="BK13" s="2">
        <f ca="1">AJ13/AJ$4</f>
        <v>0.2642483419952053</v>
      </c>
      <c r="BL13" s="2">
        <f ca="1">AK13/AK$4</f>
        <v>0.26425683212493029</v>
      </c>
      <c r="BM13" s="2">
        <f ca="1">AL13/AL$4</f>
        <v>0.26052548274770493</v>
      </c>
      <c r="BN13" s="2">
        <f ca="1">AM13/AM$4</f>
        <v>0.26201525858735014</v>
      </c>
      <c r="BO13" s="2">
        <f ca="1">AN13/AN$4</f>
        <v>0.26365749709414954</v>
      </c>
      <c r="BP13" s="2">
        <f ca="1">AO13/AO$4</f>
        <v>0.2646863764878355</v>
      </c>
      <c r="BQ13" s="2">
        <f ca="1">AP13/AP$4</f>
        <v>0.26481155336386059</v>
      </c>
      <c r="BR13" s="2">
        <f ca="1">AQ13/AQ$4</f>
        <v>0.26719821344452782</v>
      </c>
      <c r="BS13" s="2">
        <f ca="1">AR13/AR$4</f>
        <v>0.26773399868316183</v>
      </c>
      <c r="BT13" s="2">
        <f ca="1">AS13/AS$4</f>
        <v>0.26837692881814867</v>
      </c>
      <c r="BU13" s="2"/>
      <c r="BV13" s="2">
        <f ca="1">EOMONTH(TODAY(), -1)</f>
        <v>45565</v>
      </c>
      <c r="BW13" s="2" cm="1" vm="238">
        <f t="array" aca="1" ref="BW13" ca="1">_xlfn.STOCKHISTORY(P13,BV13, BV13, 0, 0, 1)</f>
        <v>151.62</v>
      </c>
      <c r="BX13" s="7">
        <f ca="1">IF(BW13&lt;&gt;0, (AU13 -BW13) / BW13, "N/A")</f>
        <v>3.5549399815327704E-2</v>
      </c>
      <c r="BY13" s="7"/>
      <c r="BZ13" s="7"/>
      <c r="CA13" s="8">
        <f ca="1">TODAY() - WEEKDAY(TODAY(), 2) + 1</f>
        <v>45579</v>
      </c>
      <c r="CB13" s="7" cm="1" vm="248">
        <f t="array" aca="1" ref="CB13" ca="1">IFERROR(_xlfn.STOCKHISTORY(P13, WORKDAY(CA13, 0), WORKDAY(CA13, 0), 0, 0, 1), "N/A")</f>
        <v>157.01</v>
      </c>
      <c r="CC13" s="9">
        <f ca="1">IF(CB13&lt;&gt;0, (AU13 - CB13) / CB13, "N/A")</f>
        <v>0</v>
      </c>
      <c r="CD13" s="10">
        <f ca="1">TODAY() - WEEKDAY(TODAY(), 2) - 2</f>
        <v>45576</v>
      </c>
      <c r="CE13" s="11" cm="1" vm="247">
        <f t="array" aca="1" ref="CE13" ca="1">IFERROR(_xlfn.STOCKHISTORY(P13, WORKDAY(CD13, 0), WORKDAY(CD13, 0), 0, 0, 1), "N/A")</f>
        <v>155</v>
      </c>
      <c r="CF13" s="12">
        <f ca="1">IF(CE13&lt;&gt;0, (AU13 - CE13) / CE13, "N/A")</f>
        <v>1.2967741935483812E-2</v>
      </c>
      <c r="CG13" s="7"/>
      <c r="CH13" s="2"/>
    </row>
    <row r="14" spans="1:116" x14ac:dyDescent="0.4">
      <c r="A14" s="1"/>
      <c r="B14" s="6" t="str">
        <f ca="1">P14 &amp; " - " &amp; S14</f>
        <v>IBIT - iShares Bitcoin Trust</v>
      </c>
      <c r="C14" s="6"/>
      <c r="D14" s="6" cm="1">
        <f t="array" aca="1" ref="D14" ca="1">_FV(O14,"Änderung (%)",TRUE)</f>
        <v>4.5353000000000004E-2</v>
      </c>
      <c r="E14" s="6">
        <f ca="1">_xlfn.RANK.EQ(D14, D:D, 1) / COUNT(D:D)</f>
        <v>1</v>
      </c>
      <c r="F14" s="6">
        <f ca="1">PERCENTRANK(AV14:BT14,BT14)</f>
        <v>8.3000000000000004E-2</v>
      </c>
      <c r="G14" s="6">
        <f ca="1">IF(CE14&lt;&gt;0, (AU14 - CE14) / CE14, "N/A")</f>
        <v>4.535336672231504E-2</v>
      </c>
      <c r="H14" s="6">
        <f ca="1">(AU14/AP14-1)</f>
        <v>4.1874653355518543E-2</v>
      </c>
      <c r="I14" s="6">
        <f ca="1">IF(BW14&lt;&gt;0, (AU14 -BW14) / BW14, "N/A")</f>
        <v>3.9856075283697695E-2</v>
      </c>
      <c r="J14" s="6">
        <f ca="1">_xlfn.RANK.EQ(I14, I:I, 1) / COUNT(I:I)</f>
        <v>0.8</v>
      </c>
      <c r="K14" s="6">
        <f ca="1">IFERROR((AU14/X14-1), "Error")</f>
        <v>0.14542682926829276</v>
      </c>
      <c r="L14" s="6">
        <f ca="1">_xlfn.RANK.EQ(K14, K:K, 1) / COUNT(K:K)</f>
        <v>0.8545454545454545</v>
      </c>
      <c r="M14" s="6"/>
      <c r="N14" s="6">
        <f ca="1">IF(BW14&lt;&gt;0, (AU14 -BW14) / BW14, "N/A")</f>
        <v>3.9856075283697695E-2</v>
      </c>
      <c r="O14" s="2" t="e" vm="249">
        <v>#VALUE!</v>
      </c>
      <c r="P14" s="2" t="str" cm="1">
        <f t="array" aca="1" ref="P14" ca="1">_FV(O14,"Ticker-Symbol",TRUE)</f>
        <v>IBIT</v>
      </c>
      <c r="Q14" s="2" t="str">
        <f ca="1">P14 &amp; ""</f>
        <v>IBIT</v>
      </c>
      <c r="R14" s="14" t="s">
        <v>71</v>
      </c>
      <c r="S14" s="2" t="str" cm="1">
        <f t="array" aca="1" ref="S14" ca="1">_FV(O14,"Name")</f>
        <v>iShares Bitcoin Trust</v>
      </c>
      <c r="T14" s="2" t="str" cm="1">
        <f t="array" aca="1" ref="T14" ca="1">_FV(O14,"Name")</f>
        <v>iShares Bitcoin Trust</v>
      </c>
      <c r="U14" s="2" cm="1" vm="250">
        <f t="array" aca="1" ref="U14:AU14" ca="1">TRANSPOSE(_xlfn.STOCKHISTORY(P14, WORKDAY(TODAY(), -27), TODAY(), 0, 0, 1))</f>
        <v>30.41</v>
      </c>
      <c r="V14" s="2" vm="251">
        <f ca="1"/>
        <v>32.51</v>
      </c>
      <c r="W14" s="2" vm="252">
        <f ca="1"/>
        <v>33</v>
      </c>
      <c r="X14" s="2" vm="253">
        <f ca="1"/>
        <v>32.799999999999997</v>
      </c>
      <c r="Y14" s="2" vm="254">
        <f ca="1"/>
        <v>33.25</v>
      </c>
      <c r="Z14" s="2" vm="255">
        <f ca="1"/>
        <v>34.04</v>
      </c>
      <c r="AA14" s="2" vm="256">
        <f ca="1"/>
        <v>32.979999999999997</v>
      </c>
      <c r="AB14" s="2" vm="257">
        <f ca="1"/>
        <v>34.1</v>
      </c>
      <c r="AC14" s="2" vm="258">
        <f ca="1"/>
        <v>34.15</v>
      </c>
      <c r="AD14" s="2" vm="259">
        <f ca="1"/>
        <v>36.01</v>
      </c>
      <c r="AE14" s="2" vm="260">
        <f ca="1"/>
        <v>35.799999999999997</v>
      </c>
      <c r="AF14" s="2" vm="261">
        <f ca="1"/>
        <v>36.04</v>
      </c>
      <c r="AG14" s="2" vm="262">
        <f ca="1"/>
        <v>36.64</v>
      </c>
      <c r="AH14" s="2" vm="263">
        <f ca="1"/>
        <v>35.97</v>
      </c>
      <c r="AI14" s="2" vm="264">
        <f ca="1"/>
        <v>36.840000000000003</v>
      </c>
      <c r="AJ14" s="2" vm="265">
        <f ca="1"/>
        <v>37.39</v>
      </c>
      <c r="AK14" s="2" vm="266">
        <f ca="1"/>
        <v>36.130000000000003</v>
      </c>
      <c r="AL14" s="2" vm="267">
        <f ca="1"/>
        <v>35.130000000000003</v>
      </c>
      <c r="AM14" s="2" vm="32">
        <f ca="1"/>
        <v>34.24</v>
      </c>
      <c r="AN14" s="2" vm="268">
        <f ca="1"/>
        <v>34.72</v>
      </c>
      <c r="AO14" s="2" vm="269">
        <f ca="1"/>
        <v>35.520000000000003</v>
      </c>
      <c r="AP14" s="2" vm="270">
        <f ca="1"/>
        <v>36.06</v>
      </c>
      <c r="AQ14" s="2" vm="271">
        <f ca="1"/>
        <v>35.4</v>
      </c>
      <c r="AR14" s="2" vm="272">
        <f ca="1"/>
        <v>34.68</v>
      </c>
      <c r="AS14" s="2" vm="273">
        <f ca="1"/>
        <v>33.950000000000003</v>
      </c>
      <c r="AT14" s="2" vm="274">
        <f ca="1"/>
        <v>35.94</v>
      </c>
      <c r="AU14" s="2" vm="275">
        <f ca="1"/>
        <v>37.57</v>
      </c>
      <c r="AV14" s="2">
        <f ca="1">U14/U$4</f>
        <v>5.6277296617070101E-2</v>
      </c>
      <c r="AW14" s="2">
        <f ca="1">V14/V$4</f>
        <v>5.9497446972053954E-2</v>
      </c>
      <c r="AX14" s="2">
        <f ca="1">W14/W$4</f>
        <v>6.0132291040288638E-2</v>
      </c>
      <c r="AY14" s="2">
        <f ca="1">X14/X$4</f>
        <v>5.9160924930558058E-2</v>
      </c>
      <c r="AZ14" s="2">
        <f ca="1">Y14/Y$4</f>
        <v>5.9471641417303114E-2</v>
      </c>
      <c r="BA14" s="2">
        <f ca="1">Z14/Z$4</f>
        <v>6.056831728972794E-2</v>
      </c>
      <c r="BB14" s="2">
        <f ca="1">AA14/AA$4</f>
        <v>5.8595693269845775E-2</v>
      </c>
      <c r="BC14" s="2">
        <f ca="1">AB14/AB$4</f>
        <v>6.056085389028007E-2</v>
      </c>
      <c r="BD14" s="2">
        <f ca="1">AC14/AC$4</f>
        <v>6.0830067687923046E-2</v>
      </c>
      <c r="BE14" s="2">
        <f ca="1">AD14/AD$4</f>
        <v>6.3067007600966757E-2</v>
      </c>
      <c r="BF14" s="2">
        <f ca="1">AE14/AE$4</f>
        <v>6.3000439947206333E-2</v>
      </c>
      <c r="BG14" s="2">
        <f ca="1">AF14/AF$4</f>
        <v>6.3264697105341688E-2</v>
      </c>
      <c r="BH14" s="2">
        <f ca="1">AG14/AG$4</f>
        <v>6.413443024680554E-2</v>
      </c>
      <c r="BI14" s="2">
        <f ca="1">AH14/AH$4</f>
        <v>6.3100835029120769E-2</v>
      </c>
      <c r="BJ14" s="2">
        <f ca="1">AI14/AI$4</f>
        <v>6.4371832954744024E-2</v>
      </c>
      <c r="BK14" s="2">
        <f ca="1">AJ14/AJ$4</f>
        <v>6.5427756487654642E-2</v>
      </c>
      <c r="BL14" s="2">
        <f ca="1">AK14/AK$4</f>
        <v>6.297058003346348E-2</v>
      </c>
      <c r="BM14" s="2">
        <f ca="1">AL14/AL$4</f>
        <v>6.1781154373746969E-2</v>
      </c>
      <c r="BN14" s="2">
        <f ca="1">AM14/AM$4</f>
        <v>6.0190556551699893E-2</v>
      </c>
      <c r="BO14" s="2">
        <f ca="1">AN14/AN$4</f>
        <v>6.1146137860589617E-2</v>
      </c>
      <c r="BP14" s="2">
        <f ca="1">AO14/AO$4</f>
        <v>6.1991692554713956E-2</v>
      </c>
      <c r="BQ14" s="2">
        <f ca="1">AP14/AP$4</f>
        <v>6.3508277562522031E-2</v>
      </c>
      <c r="BR14" s="2">
        <f ca="1">AQ14/AQ$4</f>
        <v>6.1761780972486351E-2</v>
      </c>
      <c r="BS14" s="2">
        <f ca="1">AR14/AR$4</f>
        <v>6.0089406383199921E-2</v>
      </c>
      <c r="BT14" s="2">
        <f ca="1">AS14/AS$4</f>
        <v>5.8927672573898256E-2</v>
      </c>
      <c r="BU14" s="2"/>
      <c r="BV14" s="2">
        <f ca="1">EOMONTH(TODAY(), -1)</f>
        <v>45565</v>
      </c>
      <c r="BW14" s="2" cm="1" vm="266">
        <f t="array" aca="1" ref="BW14" ca="1">_xlfn.STOCKHISTORY(P14,BV14, BV14, 0, 0, 1)</f>
        <v>36.130000000000003</v>
      </c>
      <c r="BX14" s="7">
        <f ca="1">IF(BW14&lt;&gt;0, (AU14 -BW14) / BW14, "N/A")</f>
        <v>3.9856075283697695E-2</v>
      </c>
      <c r="BY14" s="7"/>
      <c r="BZ14" s="7"/>
      <c r="CA14" s="8">
        <f ca="1">TODAY() - WEEKDAY(TODAY(), 2) + 1</f>
        <v>45579</v>
      </c>
      <c r="CB14" s="7" cm="1" vm="275">
        <f t="array" aca="1" ref="CB14" ca="1">IFERROR(_xlfn.STOCKHISTORY(P14, WORKDAY(CA14, 0), WORKDAY(CA14, 0), 0, 0, 1), "N/A")</f>
        <v>37.57</v>
      </c>
      <c r="CC14" s="9">
        <f ca="1">IF(CB14&lt;&gt;0, (AU14 - CB14) / CB14, "N/A")</f>
        <v>0</v>
      </c>
      <c r="CD14" s="10">
        <f ca="1">TODAY() - WEEKDAY(TODAY(), 2) - 2</f>
        <v>45576</v>
      </c>
      <c r="CE14" s="11" cm="1" vm="274">
        <f t="array" aca="1" ref="CE14" ca="1">IFERROR(_xlfn.STOCKHISTORY(P14, WORKDAY(CD14, 0), WORKDAY(CD14, 0), 0, 0, 1), "N/A")</f>
        <v>35.94</v>
      </c>
      <c r="CF14" s="12">
        <f ca="1">IF(CE14&lt;&gt;0, (AU14 - CE14) / CE14, "N/A")</f>
        <v>4.535336672231504E-2</v>
      </c>
      <c r="CG14" s="7"/>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row>
    <row r="15" spans="1:116" x14ac:dyDescent="0.4">
      <c r="B15" s="6" t="str">
        <f ca="1">P15 &amp; " - " &amp; S15</f>
        <v>VFH - Vanguard Finl Indx;ETF</v>
      </c>
      <c r="C15" s="6"/>
      <c r="D15" s="6" cm="1">
        <f t="array" aca="1" ref="D15" ca="1">_FV(O15,"Änderung (%)",TRUE)</f>
        <v>7.698E-3</v>
      </c>
      <c r="E15" s="6">
        <f ca="1">_xlfn.RANK.EQ(D15, D:D, 1) / COUNT(D:D)</f>
        <v>0.67272727272727273</v>
      </c>
      <c r="F15" s="6">
        <f ca="1">PERCENTRANK(AV15:BT15,BT15)</f>
        <v>0.41599999999999998</v>
      </c>
      <c r="G15" s="6">
        <f ca="1">IF(CE15&lt;&gt;0, (AU15 - CE15) / CE15, "N/A")</f>
        <v>7.6984337669231953E-3</v>
      </c>
      <c r="H15" s="6">
        <f ca="1">(AU15/AP15-1)</f>
        <v>4.066526546650806E-2</v>
      </c>
      <c r="I15" s="6">
        <f ca="1">IF(BW15&lt;&gt;0, (AU15 -BW15) / BW15, "N/A")</f>
        <v>3.6120462196342455E-2</v>
      </c>
      <c r="J15" s="6">
        <f ca="1">_xlfn.RANK.EQ(I15, I:I, 1) / COUNT(I:I)</f>
        <v>0.72727272727272729</v>
      </c>
      <c r="K15" s="6">
        <f ca="1">IFERROR((AU15/X15-1), "Error")</f>
        <v>6.5394330620263785E-2</v>
      </c>
      <c r="L15" s="6">
        <f ca="1">_xlfn.RANK.EQ(K15, K:K, 1) / COUNT(K:K)</f>
        <v>0.41818181818181815</v>
      </c>
      <c r="M15" s="6"/>
      <c r="N15" s="6">
        <f ca="1">IF(BW15&lt;&gt;0, (AU15 -BW15) / BW15, "N/A")</f>
        <v>3.6120462196342455E-2</v>
      </c>
      <c r="O15" s="2" t="e" vm="276">
        <v>#VALUE!</v>
      </c>
      <c r="P15" s="14" t="s">
        <v>51</v>
      </c>
      <c r="Q15" s="2" t="str">
        <f>P15 &amp; ""</f>
        <v>VFH</v>
      </c>
      <c r="R15" s="14" t="s">
        <v>71</v>
      </c>
      <c r="S15" s="2" t="str" cm="1">
        <f t="array" aca="1" ref="S15" ca="1">_FV(O15,"Name")</f>
        <v>Vanguard Finl Indx;ETF</v>
      </c>
      <c r="T15" s="2" t="str" cm="1">
        <f t="array" aca="1" ref="T15" ca="1">_FV(O15,"Name")</f>
        <v>Vanguard Finl Indx;ETF</v>
      </c>
      <c r="U15" s="2" cm="1" vm="277">
        <f t="array" aca="1" ref="U15:AU15" ca="1">TRANSPOSE(_xlfn.STOCKHISTORY(P15, WORKDAY(TODAY(), -27), TODAY(), 0, 0, 1))</f>
        <v>106.93</v>
      </c>
      <c r="V15" s="2" vm="278">
        <f ca="1"/>
        <v>108.34</v>
      </c>
      <c r="W15" s="2" vm="279">
        <f ca="1"/>
        <v>107.27</v>
      </c>
      <c r="X15" s="2" vm="280">
        <f ca="1"/>
        <v>106.89</v>
      </c>
      <c r="Y15" s="2" vm="281">
        <f ca="1"/>
        <v>107.33</v>
      </c>
      <c r="Z15" s="2" vm="282">
        <f ca="1"/>
        <v>108</v>
      </c>
      <c r="AA15" s="2" vm="283">
        <f ca="1"/>
        <v>109.34</v>
      </c>
      <c r="AB15" s="2" vm="284">
        <f ca="1"/>
        <v>109.95</v>
      </c>
      <c r="AC15" s="2" vm="285">
        <f ca="1"/>
        <v>109.77</v>
      </c>
      <c r="AD15" s="2" vm="286">
        <f ca="1"/>
        <v>111.21</v>
      </c>
      <c r="AE15" s="2" vm="287">
        <f ca="1"/>
        <v>110.72</v>
      </c>
      <c r="AF15" s="2" vm="288">
        <f ca="1"/>
        <v>110.88</v>
      </c>
      <c r="AG15" s="2" vm="289">
        <f ca="1"/>
        <v>109.87</v>
      </c>
      <c r="AH15" s="2" vm="290">
        <f ca="1"/>
        <v>109.13</v>
      </c>
      <c r="AI15" s="2" vm="291">
        <f ca="1"/>
        <v>109.7</v>
      </c>
      <c r="AJ15" s="2" vm="292">
        <f ca="1"/>
        <v>109.59</v>
      </c>
      <c r="AK15" s="2" vm="293">
        <f ca="1"/>
        <v>109.91</v>
      </c>
      <c r="AL15" s="2" vm="294">
        <f ca="1"/>
        <v>109.2</v>
      </c>
      <c r="AM15" s="2" vm="295">
        <f ca="1"/>
        <v>109.28</v>
      </c>
      <c r="AN15" s="2" vm="296">
        <f ca="1"/>
        <v>108.87</v>
      </c>
      <c r="AO15" s="2" vm="297">
        <f ca="1"/>
        <v>110.74</v>
      </c>
      <c r="AP15" s="2" vm="298">
        <f ca="1"/>
        <v>109.43</v>
      </c>
      <c r="AQ15" s="2" vm="299">
        <f ca="1"/>
        <v>110.02</v>
      </c>
      <c r="AR15" s="2" vm="300">
        <f ca="1"/>
        <v>111</v>
      </c>
      <c r="AS15" s="2" vm="301">
        <f ca="1"/>
        <v>110.76</v>
      </c>
      <c r="AT15" s="2" vm="302">
        <f ca="1"/>
        <v>113.01</v>
      </c>
      <c r="AU15" s="2" vm="303">
        <f ca="1"/>
        <v>113.88</v>
      </c>
      <c r="AV15" s="2">
        <f ca="1">U15/U$4</f>
        <v>0.19788659412243689</v>
      </c>
      <c r="AW15" s="2">
        <f ca="1">V15/V$4</f>
        <v>0.19827601983858276</v>
      </c>
      <c r="AX15" s="2">
        <f ca="1">W15/W$4</f>
        <v>0.19546638969368976</v>
      </c>
      <c r="AY15" s="2">
        <f ca="1">X15/X$4</f>
        <v>0.19279607517766315</v>
      </c>
      <c r="AZ15" s="2">
        <f ca="1">Y15/Y$4</f>
        <v>0.19197266987425995</v>
      </c>
      <c r="BA15" s="2">
        <f ca="1">Z15/Z$4</f>
        <v>0.19216739915659864</v>
      </c>
      <c r="BB15" s="2">
        <f ca="1">AA15/AA$4</f>
        <v>0.19426479994314547</v>
      </c>
      <c r="BC15" s="2">
        <f ca="1">AB15/AB$4</f>
        <v>0.19526879428845437</v>
      </c>
      <c r="BD15" s="2">
        <f ca="1">AC15/AC$4</f>
        <v>0.19552903455646597</v>
      </c>
      <c r="BE15" s="2">
        <f ca="1">AD15/AD$4</f>
        <v>0.1947703947598865</v>
      </c>
      <c r="BF15" s="2">
        <f ca="1">AE15/AE$4</f>
        <v>0.194843818741751</v>
      </c>
      <c r="BG15" s="2">
        <f ca="1">AF15/AF$4</f>
        <v>0.19463900152719996</v>
      </c>
      <c r="BH15" s="2">
        <f ca="1">AG15/AG$4</f>
        <v>0.19231577104848593</v>
      </c>
      <c r="BI15" s="2">
        <f ca="1">AH15/AH$4</f>
        <v>0.19144270577503333</v>
      </c>
      <c r="BJ15" s="2">
        <f ca="1">AI15/AI$4</f>
        <v>0.1916826839070418</v>
      </c>
      <c r="BK15" s="2">
        <f ca="1">AJ15/AJ$4</f>
        <v>0.19176859677673369</v>
      </c>
      <c r="BL15" s="2">
        <f ca="1">AK15/AK$4</f>
        <v>0.19156093139988845</v>
      </c>
      <c r="BM15" s="2">
        <f ca="1">AL15/AL$4</f>
        <v>0.19204389574759945</v>
      </c>
      <c r="BN15" s="2">
        <f ca="1">AM15/AM$4</f>
        <v>0.19210350525612629</v>
      </c>
      <c r="BO15" s="2">
        <f ca="1">AN15/AN$4</f>
        <v>0.1917332957627417</v>
      </c>
      <c r="BP15" s="2">
        <f ca="1">AO15/AO$4</f>
        <v>0.19327027121365492</v>
      </c>
      <c r="BQ15" s="2">
        <f ca="1">AP15/AP$4</f>
        <v>0.19272631208171895</v>
      </c>
      <c r="BR15" s="2">
        <f ca="1">AQ15/AQ$4</f>
        <v>0.19195003227663696</v>
      </c>
      <c r="BS15" s="2">
        <f ca="1">AR15/AR$4</f>
        <v>0.19232768479051876</v>
      </c>
      <c r="BT15" s="2">
        <f ca="1">AS15/AS$4</f>
        <v>0.19224827729852639</v>
      </c>
      <c r="BU15" s="2"/>
      <c r="BV15" s="2">
        <f ca="1">EOMONTH(TODAY(), -1)</f>
        <v>45565</v>
      </c>
      <c r="BW15" s="2" cm="1" vm="293">
        <f t="array" aca="1" ref="BW15" ca="1">_xlfn.STOCKHISTORY(P15,BV15, BV15, 0, 0, 1)</f>
        <v>109.91</v>
      </c>
      <c r="BX15" s="7">
        <f ca="1">IF(BW15&lt;&gt;0, (AU15 -BW15) / BW15, "N/A")</f>
        <v>3.6120462196342455E-2</v>
      </c>
      <c r="BY15" s="7"/>
      <c r="BZ15" s="7"/>
      <c r="CA15" s="8">
        <f ca="1">TODAY() - WEEKDAY(TODAY(), 2) + 1</f>
        <v>45579</v>
      </c>
      <c r="CB15" s="7" cm="1" vm="303">
        <f t="array" aca="1" ref="CB15" ca="1">IFERROR(_xlfn.STOCKHISTORY(P15, WORKDAY(CA15, 0), WORKDAY(CA15, 0), 0, 0, 1), "N/A")</f>
        <v>113.88</v>
      </c>
      <c r="CC15" s="9">
        <f ca="1">IF(CB15&lt;&gt;0, (AU15 - CB15) / CB15, "N/A")</f>
        <v>0</v>
      </c>
      <c r="CD15" s="10">
        <f ca="1">TODAY() - WEEKDAY(TODAY(), 2) - 2</f>
        <v>45576</v>
      </c>
      <c r="CE15" s="11" cm="1" vm="302">
        <f t="array" aca="1" ref="CE15" ca="1">IFERROR(_xlfn.STOCKHISTORY(P15, WORKDAY(CD15, 0), WORKDAY(CD15, 0), 0, 0, 1), "N/A")</f>
        <v>113.01</v>
      </c>
      <c r="CF15" s="12">
        <f ca="1">IF(CE15&lt;&gt;0, (AU15 - CE15) / CE15, "N/A")</f>
        <v>7.6984337669231953E-3</v>
      </c>
      <c r="CG15" s="7"/>
      <c r="CH15" s="2"/>
    </row>
    <row r="16" spans="1:116" x14ac:dyDescent="0.4">
      <c r="B16" s="6" t="str">
        <f ca="1">P16 &amp; " - " &amp; S16</f>
        <v>SOXX - iShares:Semiconductor</v>
      </c>
      <c r="C16" s="6"/>
      <c r="D16" s="6" cm="1">
        <f t="array" aca="1" ref="D16" ca="1">_FV(O16,"Änderung (%)",TRUE)</f>
        <v>1.8432E-2</v>
      </c>
      <c r="E16" s="6">
        <f ca="1">_xlfn.RANK.EQ(D16, D:D, 1) / COUNT(D:D)</f>
        <v>0.94545454545454544</v>
      </c>
      <c r="F16" s="6">
        <f ca="1">PERCENTRANK(AV16:BT16,BT16)</f>
        <v>0.79100000000000004</v>
      </c>
      <c r="G16" s="6">
        <f ca="1">IF(CE16&lt;&gt;0, (AU16 - CE16) / CE16, "N/A")</f>
        <v>1.8432005436167517E-2</v>
      </c>
      <c r="H16" s="6">
        <f ca="1">(AU16/AP16-1)</f>
        <v>4.0572792362768562E-2</v>
      </c>
      <c r="I16" s="6">
        <f ca="1">IF(BW16&lt;&gt;0, (AU16 -BW16) / BW16, "N/A")</f>
        <v>3.9941020859534271E-2</v>
      </c>
      <c r="J16" s="6">
        <f ca="1">_xlfn.RANK.EQ(I16, I:I, 1) / COUNT(I:I)</f>
        <v>0.83636363636363631</v>
      </c>
      <c r="K16" s="6">
        <f ca="1">IFERROR((AU16/X16-1), "Error")</f>
        <v>9.0446091582920385E-2</v>
      </c>
      <c r="L16" s="6">
        <f ca="1">_xlfn.RANK.EQ(K16, K:K, 1) / COUNT(K:K)</f>
        <v>0.5636363636363636</v>
      </c>
      <c r="M16" s="6"/>
      <c r="N16" s="6">
        <f ca="1">IF(BW16&lt;&gt;0, (AU16 -BW16) / BW16, "N/A")</f>
        <v>3.9941020859534271E-2</v>
      </c>
      <c r="O16" s="2" t="e" vm="304">
        <v>#VALUE!</v>
      </c>
      <c r="P16" s="14" t="s">
        <v>40</v>
      </c>
      <c r="Q16" s="2" t="str">
        <f>P16 &amp; ""</f>
        <v>SOXX</v>
      </c>
      <c r="R16" s="14" t="s">
        <v>71</v>
      </c>
      <c r="S16" s="2" t="str" cm="1">
        <f t="array" aca="1" ref="S16" ca="1">_FV(O16,"Name")</f>
        <v>iShares:Semiconductor</v>
      </c>
      <c r="T16" s="2" t="str" cm="1">
        <f t="array" aca="1" ref="T16" ca="1">_FV(O16,"Name")</f>
        <v>iShares:Semiconductor</v>
      </c>
      <c r="U16" s="2" cm="1" vm="305">
        <f t="array" aca="1" ref="U16:AU16" ca="1">TRANSPOSE(_xlfn.STOCKHISTORY(P16, WORKDAY(TODAY(), -27), TODAY(), 0, 0, 1))</f>
        <v>203.93</v>
      </c>
      <c r="V16" s="2" vm="306">
        <f ca="1"/>
        <v>207.96</v>
      </c>
      <c r="W16" s="2" vm="307">
        <f ca="1"/>
        <v>210.15</v>
      </c>
      <c r="X16" s="2" vm="308">
        <f ca="1"/>
        <v>219.91</v>
      </c>
      <c r="Y16" s="2" vm="309">
        <f ca="1"/>
        <v>218.94</v>
      </c>
      <c r="Z16" s="2" vm="310">
        <f ca="1"/>
        <v>222.85</v>
      </c>
      <c r="AA16" s="2" vm="311">
        <f ca="1"/>
        <v>219.88</v>
      </c>
      <c r="AB16" s="2" vm="312">
        <f ca="1"/>
        <v>220.15</v>
      </c>
      <c r="AC16" s="2" vm="313">
        <f ca="1"/>
        <v>217.72</v>
      </c>
      <c r="AD16" s="2" vm="314">
        <f ca="1"/>
        <v>226.99</v>
      </c>
      <c r="AE16" s="2" vm="315">
        <f ca="1"/>
        <v>223.67</v>
      </c>
      <c r="AF16" s="2" vm="316">
        <f ca="1"/>
        <v>224.54</v>
      </c>
      <c r="AG16" s="2" vm="317">
        <f ca="1"/>
        <v>227.26</v>
      </c>
      <c r="AH16" s="2" vm="318">
        <f ca="1"/>
        <v>228.27</v>
      </c>
      <c r="AI16" s="2" vm="319">
        <f ca="1"/>
        <v>236.43</v>
      </c>
      <c r="AJ16" s="2" vm="320">
        <f ca="1"/>
        <v>232.68</v>
      </c>
      <c r="AK16" s="2" vm="321">
        <f ca="1"/>
        <v>230.59</v>
      </c>
      <c r="AL16" s="2" vm="322">
        <f ca="1"/>
        <v>224.13</v>
      </c>
      <c r="AM16" s="2" vm="323">
        <f ca="1"/>
        <v>227.15</v>
      </c>
      <c r="AN16" s="2" vm="324">
        <f ca="1"/>
        <v>227.96</v>
      </c>
      <c r="AO16" s="2" vm="325">
        <f ca="1"/>
        <v>231.08</v>
      </c>
      <c r="AP16" s="2" vm="326">
        <f ca="1"/>
        <v>230.45</v>
      </c>
      <c r="AQ16" s="2" vm="327">
        <f ca="1"/>
        <v>232.72</v>
      </c>
      <c r="AR16" s="2" vm="328">
        <f ca="1"/>
        <v>235.15</v>
      </c>
      <c r="AS16" s="2" vm="329">
        <f ca="1"/>
        <v>233.5</v>
      </c>
      <c r="AT16" s="2" vm="330">
        <f ca="1"/>
        <v>235.46</v>
      </c>
      <c r="AU16" s="2" vm="331">
        <f ca="1"/>
        <v>239.8</v>
      </c>
      <c r="AV16" s="2">
        <f ca="1">U16/U$4</f>
        <v>0.37739655044784959</v>
      </c>
      <c r="AW16" s="2">
        <f ca="1">V16/V$4</f>
        <v>0.38059332735491669</v>
      </c>
      <c r="AX16" s="2">
        <f ca="1">W16/W$4</f>
        <v>0.38293336248838356</v>
      </c>
      <c r="AY16" s="2">
        <f ca="1">X16/X$4</f>
        <v>0.3966487500450922</v>
      </c>
      <c r="AZ16" s="2">
        <f ca="1">Y16/Y$4</f>
        <v>0.39160063674900281</v>
      </c>
      <c r="BA16" s="2">
        <f ca="1">Z16/Z$4</f>
        <v>0.39652319353748156</v>
      </c>
      <c r="BB16" s="2">
        <f ca="1">AA16/AA$4</f>
        <v>0.39066164451709184</v>
      </c>
      <c r="BC16" s="2">
        <f ca="1">AB16/AB$4</f>
        <v>0.39098158310689612</v>
      </c>
      <c r="BD16" s="2">
        <f ca="1">AC16/AC$4</f>
        <v>0.38781617385108658</v>
      </c>
      <c r="BE16" s="2">
        <f ca="1">AD16/AD$4</f>
        <v>0.39754457248940417</v>
      </c>
      <c r="BF16" s="2">
        <f ca="1">AE16/AE$4</f>
        <v>0.39361196656401232</v>
      </c>
      <c r="BG16" s="2">
        <f ca="1">AF16/AF$4</f>
        <v>0.39415802131058336</v>
      </c>
      <c r="BH16" s="2">
        <f ca="1">AG16/AG$4</f>
        <v>0.3977945037633468</v>
      </c>
      <c r="BI16" s="2">
        <f ca="1">AH16/AH$4</f>
        <v>0.40044558276612174</v>
      </c>
      <c r="BJ16" s="2">
        <f ca="1">AI16/AI$4</f>
        <v>0.41312248820548669</v>
      </c>
      <c r="BK16" s="2">
        <f ca="1">AJ16/AJ$4</f>
        <v>0.40716048086513729</v>
      </c>
      <c r="BL16" s="2">
        <f ca="1">AK16/AK$4</f>
        <v>0.40189277746793084</v>
      </c>
      <c r="BM16" s="2">
        <f ca="1">AL16/AL$4</f>
        <v>0.39416482009074599</v>
      </c>
      <c r="BN16" s="2">
        <f ca="1">AM16/AM$4</f>
        <v>0.39930738670323102</v>
      </c>
      <c r="BO16" s="2">
        <f ca="1">AN16/AN$4</f>
        <v>0.40146525307315695</v>
      </c>
      <c r="BP16" s="2">
        <f ca="1">AO16/AO$4</f>
        <v>0.40329505392858389</v>
      </c>
      <c r="BQ16" s="2">
        <f ca="1">AP16/AP$4</f>
        <v>0.40586474110602327</v>
      </c>
      <c r="BR16" s="2">
        <f ca="1">AQ16/AQ$4</f>
        <v>0.40602264598635662</v>
      </c>
      <c r="BS16" s="2">
        <f ca="1">AR16/AR$4</f>
        <v>0.40744013584225669</v>
      </c>
      <c r="BT16" s="2">
        <f ca="1">AS16/AS$4</f>
        <v>0.40529047263638418</v>
      </c>
      <c r="BU16" s="2"/>
      <c r="BV16" s="2">
        <f ca="1">EOMONTH(TODAY(), -1)</f>
        <v>45565</v>
      </c>
      <c r="BW16" s="2" cm="1" vm="321">
        <f t="array" aca="1" ref="BW16" ca="1">_xlfn.STOCKHISTORY(P16,BV16, BV16, 0, 0, 1)</f>
        <v>230.59</v>
      </c>
      <c r="BX16" s="7">
        <f ca="1">IF(BW16&lt;&gt;0, (AU16 -BW16) / BW16, "N/A")</f>
        <v>3.9941020859534271E-2</v>
      </c>
      <c r="BY16" s="7"/>
      <c r="BZ16" s="7"/>
      <c r="CA16" s="8">
        <f ca="1">TODAY() - WEEKDAY(TODAY(), 2) + 1</f>
        <v>45579</v>
      </c>
      <c r="CB16" s="7" cm="1" vm="331">
        <f t="array" aca="1" ref="CB16" ca="1">IFERROR(_xlfn.STOCKHISTORY(P16, WORKDAY(CA16, 0), WORKDAY(CA16, 0), 0, 0, 1), "N/A")</f>
        <v>239.8</v>
      </c>
      <c r="CC16" s="9">
        <f ca="1">IF(CB16&lt;&gt;0, (AU16 - CB16) / CB16, "N/A")</f>
        <v>0</v>
      </c>
      <c r="CD16" s="10">
        <f ca="1">TODAY() - WEEKDAY(TODAY(), 2) - 2</f>
        <v>45576</v>
      </c>
      <c r="CE16" s="11" cm="1" vm="330">
        <f t="array" aca="1" ref="CE16" ca="1">IFERROR(_xlfn.STOCKHISTORY(P16, WORKDAY(CD16, 0), WORKDAY(CD16, 0), 0, 0, 1), "N/A")</f>
        <v>235.46</v>
      </c>
      <c r="CF16" s="12">
        <f ca="1">IF(CE16&lt;&gt;0, (AU16 - CE16) / CE16, "N/A")</f>
        <v>1.8432005436167517E-2</v>
      </c>
      <c r="CG16" s="7"/>
      <c r="CH16" s="2"/>
    </row>
    <row r="17" spans="1:116" x14ac:dyDescent="0.4">
      <c r="B17" s="6" t="str">
        <f ca="1">P17 &amp; " - " &amp; S17</f>
        <v>GBTC - GRAYSCALE BITCOIN TRUST (BTC)</v>
      </c>
      <c r="C17" s="6"/>
      <c r="D17" s="6" cm="1">
        <f t="array" aca="1" ref="D17" ca="1">_FV(O17,"Änderung (%)",TRUE)</f>
        <v>4.3963000000000002E-2</v>
      </c>
      <c r="E17" s="6">
        <f ca="1">_xlfn.RANK.EQ(D17, D:D, 1) / COUNT(D:D)</f>
        <v>0.98181818181818181</v>
      </c>
      <c r="F17" s="6">
        <f ca="1">PERCENTRANK(AV17:BT17,BT17)</f>
        <v>8.3000000000000004E-2</v>
      </c>
      <c r="G17" s="6">
        <f ca="1">IF(CE17&lt;&gt;0, (AU17 - CE17) / CE17, "N/A")</f>
        <v>4.396260194947272E-2</v>
      </c>
      <c r="H17" s="6">
        <f ca="1">(AU17/AP17-1)</f>
        <v>4.0444091990483821E-2</v>
      </c>
      <c r="I17" s="6">
        <f ca="1">IF(BW17&lt;&gt;0, (AU17 -BW17) / BW17, "N/A")</f>
        <v>3.9207920792079146E-2</v>
      </c>
      <c r="J17" s="6">
        <f ca="1">_xlfn.RANK.EQ(I17, I:I, 1) / COUNT(I:I)</f>
        <v>0.78181818181818186</v>
      </c>
      <c r="K17" s="6">
        <f ca="1">IFERROR((AU17/X17-1), "Error")</f>
        <v>0.14335511982570792</v>
      </c>
      <c r="L17" s="6">
        <f ca="1">_xlfn.RANK.EQ(K17, K:K, 1) / COUNT(K:K)</f>
        <v>0.83636363636363631</v>
      </c>
      <c r="M17" s="6"/>
      <c r="N17" s="6">
        <f ca="1">IF(BW17&lt;&gt;0, (AU17 -BW17) / BW17, "N/A")</f>
        <v>3.9207920792079146E-2</v>
      </c>
      <c r="O17" s="2" t="e" vm="332">
        <v>#VALUE!</v>
      </c>
      <c r="P17" s="14" t="s">
        <v>70</v>
      </c>
      <c r="Q17" s="2" t="str">
        <f>P17 &amp; ""</f>
        <v>GBTC</v>
      </c>
      <c r="R17" s="14" t="s">
        <v>71</v>
      </c>
      <c r="S17" s="2" t="str" cm="1">
        <f t="array" aca="1" ref="S17" ca="1">_FV(O17,"Name")</f>
        <v>GRAYSCALE BITCOIN TRUST (BTC)</v>
      </c>
      <c r="T17" s="2" t="str" cm="1">
        <f t="array" aca="1" ref="T17" ca="1">_FV(O17,"Name")</f>
        <v>GRAYSCALE BITCOIN TRUST (BTC)</v>
      </c>
      <c r="U17" s="2" cm="1" vm="333">
        <f t="array" aca="1" ref="U17:AU17" ca="1">TRANSPOSE(_xlfn.STOCKHISTORY(P17, WORKDAY(TODAY(), -27), TODAY(), 0, 0, 1))</f>
        <v>42.6</v>
      </c>
      <c r="V17" s="2" vm="334">
        <f ca="1"/>
        <v>45.51</v>
      </c>
      <c r="W17" s="2" vm="335">
        <f ca="1"/>
        <v>46.19</v>
      </c>
      <c r="X17" s="2" vm="336">
        <f ca="1"/>
        <v>45.9</v>
      </c>
      <c r="Y17" s="2" vm="337">
        <f ca="1"/>
        <v>46.53</v>
      </c>
      <c r="Z17" s="2" vm="338">
        <f ca="1"/>
        <v>47.64</v>
      </c>
      <c r="AA17" s="2" vm="59">
        <f ca="1"/>
        <v>46.14</v>
      </c>
      <c r="AB17" s="2" vm="339">
        <f ca="1"/>
        <v>47.77</v>
      </c>
      <c r="AC17" s="2" vm="340">
        <f ca="1"/>
        <v>47.79</v>
      </c>
      <c r="AD17" s="2" vm="341">
        <f ca="1"/>
        <v>50.38</v>
      </c>
      <c r="AE17" s="2" vm="342">
        <f ca="1"/>
        <v>50.03</v>
      </c>
      <c r="AF17" s="2" vm="343">
        <f ca="1"/>
        <v>50.41</v>
      </c>
      <c r="AG17" s="2" vm="344">
        <f ca="1"/>
        <v>51.23</v>
      </c>
      <c r="AH17" s="2" vm="345">
        <f ca="1"/>
        <v>50.3</v>
      </c>
      <c r="AI17" s="2" vm="346">
        <f ca="1"/>
        <v>51.54</v>
      </c>
      <c r="AJ17" s="2" vm="347">
        <f ca="1"/>
        <v>52.31</v>
      </c>
      <c r="AK17" s="2" vm="348">
        <f ca="1"/>
        <v>50.5</v>
      </c>
      <c r="AL17" s="2" vm="349">
        <f ca="1"/>
        <v>49.12</v>
      </c>
      <c r="AM17" s="2" vm="350">
        <f ca="1"/>
        <v>47.92</v>
      </c>
      <c r="AN17" s="2" vm="351">
        <f ca="1"/>
        <v>48.58</v>
      </c>
      <c r="AO17" s="2" vm="352">
        <f ca="1"/>
        <v>49.68</v>
      </c>
      <c r="AP17" s="2" vm="353">
        <f ca="1"/>
        <v>50.44</v>
      </c>
      <c r="AQ17" s="2" vm="354">
        <f ca="1"/>
        <v>49.52</v>
      </c>
      <c r="AR17" s="2" vm="67">
        <f ca="1"/>
        <v>48.52</v>
      </c>
      <c r="AS17" s="2" vm="355">
        <f ca="1"/>
        <v>47.49</v>
      </c>
      <c r="AT17" s="2" vm="356">
        <f ca="1"/>
        <v>50.27</v>
      </c>
      <c r="AU17" s="2" vm="357">
        <f ca="1"/>
        <v>52.48</v>
      </c>
      <c r="AV17" s="2">
        <f ca="1">U17/U$4</f>
        <v>7.8836331334665777E-2</v>
      </c>
      <c r="AW17" s="2">
        <f ca="1">V17/V$4</f>
        <v>8.3289105250635972E-2</v>
      </c>
      <c r="AX17" s="2">
        <f ca="1">W17/W$4</f>
        <v>8.4166985550028245E-2</v>
      </c>
      <c r="AY17" s="2">
        <f ca="1">X17/X$4</f>
        <v>8.2789221168067528E-2</v>
      </c>
      <c r="AZ17" s="2">
        <f ca="1">Y17/Y$4</f>
        <v>8.3224525568334248E-2</v>
      </c>
      <c r="BA17" s="2">
        <f ca="1">Z17/Z$4</f>
        <v>8.4767174961299624E-2</v>
      </c>
      <c r="BB17" s="2">
        <f ca="1">AA17/AA$4</f>
        <v>8.197711605429607E-2</v>
      </c>
      <c r="BC17" s="2">
        <f ca="1">AB17/AB$4</f>
        <v>8.4838474789990584E-2</v>
      </c>
      <c r="BD17" s="2">
        <f ca="1">AC17/AC$4</f>
        <v>8.5126469540434624E-2</v>
      </c>
      <c r="BE17" s="2">
        <f ca="1">AD17/AD$4</f>
        <v>8.8234263897159271E-2</v>
      </c>
      <c r="BF17" s="2">
        <f ca="1">AE17/AE$4</f>
        <v>8.8042234931808183E-2</v>
      </c>
      <c r="BG17" s="2">
        <f ca="1">AF17/AF$4</f>
        <v>8.848982744395878E-2</v>
      </c>
      <c r="BH17" s="2">
        <f ca="1">AG17/AG$4</f>
        <v>8.9672676352179237E-2</v>
      </c>
      <c r="BI17" s="2">
        <f ca="1">AH17/AH$4</f>
        <v>8.8239421794961762E-2</v>
      </c>
      <c r="BJ17" s="2">
        <f ca="1">AI17/AI$4</f>
        <v>9.0057662065350347E-2</v>
      </c>
      <c r="BK17" s="2">
        <f ca="1">AJ17/AJ$4</f>
        <v>9.1535863649885377E-2</v>
      </c>
      <c r="BL17" s="2">
        <f ca="1">AK17/AK$4</f>
        <v>8.8015895147796994E-2</v>
      </c>
      <c r="BM17" s="2">
        <f ca="1">AL17/AL$4</f>
        <v>8.6384580211740697E-2</v>
      </c>
      <c r="BN17" s="2">
        <f ca="1">AM17/AM$4</f>
        <v>8.4238652744084666E-2</v>
      </c>
      <c r="BO17" s="2">
        <f ca="1">AN17/AN$4</f>
        <v>8.5555281603324984E-2</v>
      </c>
      <c r="BP17" s="2">
        <f ca="1">AO17/AO$4</f>
        <v>8.6704597019093152E-2</v>
      </c>
      <c r="BQ17" s="2">
        <f ca="1">AP17/AP$4</f>
        <v>8.8834096512856647E-2</v>
      </c>
      <c r="BR17" s="2">
        <f ca="1">AQ17/AQ$4</f>
        <v>8.6396706038348148E-2</v>
      </c>
      <c r="BS17" s="2">
        <f ca="1">AR17/AR$4</f>
        <v>8.4069723117441181E-2</v>
      </c>
      <c r="BT17" s="2">
        <f ca="1">AS17/AS$4</f>
        <v>8.2429312828701862E-2</v>
      </c>
      <c r="BU17" s="2"/>
      <c r="BV17" s="2">
        <f ca="1">EOMONTH(TODAY(), -1)</f>
        <v>45565</v>
      </c>
      <c r="BW17" s="2" cm="1" vm="348">
        <f t="array" aca="1" ref="BW17" ca="1">_xlfn.STOCKHISTORY(P17,BV17, BV17, 0, 0, 1)</f>
        <v>50.5</v>
      </c>
      <c r="BX17" s="7">
        <f ca="1">IF(BW17&lt;&gt;0, (AU17 -BW17) / BW17, "N/A")</f>
        <v>3.9207920792079146E-2</v>
      </c>
      <c r="BY17" s="7"/>
      <c r="BZ17" s="7"/>
      <c r="CA17" s="8">
        <f ca="1">TODAY() - WEEKDAY(TODAY(), 2) + 1</f>
        <v>45579</v>
      </c>
      <c r="CB17" s="7" cm="1" vm="357">
        <f t="array" aca="1" ref="CB17" ca="1">IFERROR(_xlfn.STOCKHISTORY(P17, WORKDAY(CA17, 0), WORKDAY(CA17, 0), 0, 0, 1), "N/A")</f>
        <v>52.48</v>
      </c>
      <c r="CC17" s="9">
        <f ca="1">IF(CB17&lt;&gt;0, (AU17 - CB17) / CB17, "N/A")</f>
        <v>0</v>
      </c>
      <c r="CD17" s="10">
        <f ca="1">TODAY() - WEEKDAY(TODAY(), 2) - 2</f>
        <v>45576</v>
      </c>
      <c r="CE17" s="11" cm="1" vm="356">
        <f t="array" aca="1" ref="CE17" ca="1">IFERROR(_xlfn.STOCKHISTORY(P17, WORKDAY(CD17, 0), WORKDAY(CD17, 0), 0, 0, 1), "N/A")</f>
        <v>50.27</v>
      </c>
      <c r="CF17" s="12">
        <f ca="1">IF(CE17&lt;&gt;0, (AU17 - CE17) / CE17, "N/A")</f>
        <v>4.396260194947272E-2</v>
      </c>
      <c r="CG17" s="7"/>
      <c r="CH17" s="2"/>
    </row>
    <row r="18" spans="1:116" x14ac:dyDescent="0.4">
      <c r="B18" s="6" t="str">
        <f ca="1">P18 &amp; " - " &amp; S18</f>
        <v>IWP - iShares:Russ MC Gr</v>
      </c>
      <c r="C18" s="6"/>
      <c r="D18" s="6" cm="1">
        <f t="array" aca="1" ref="D18" ca="1">_FV(O18,"Änderung (%)",TRUE)</f>
        <v>6.685E-3</v>
      </c>
      <c r="E18" s="6">
        <f ca="1">_xlfn.RANK.EQ(D18, D:D, 1) / COUNT(D:D)</f>
        <v>0.61818181818181817</v>
      </c>
      <c r="F18" s="6">
        <f ca="1">PERCENTRANK(AV18:BT18,BT18)</f>
        <v>1</v>
      </c>
      <c r="G18" s="6">
        <f ca="1">IF(CE18&lt;&gt;0, (AU18 - CE18) / CE18, "N/A")</f>
        <v>6.6853747111258032E-3</v>
      </c>
      <c r="H18" s="6">
        <f ca="1">(AU18/AP18-1)</f>
        <v>3.9901099838008269E-2</v>
      </c>
      <c r="I18" s="6">
        <f ca="1">IF(BW18&lt;&gt;0, (AU18 -BW18) / BW18, "N/A")</f>
        <v>3.990109983800829E-2</v>
      </c>
      <c r="J18" s="6">
        <f ca="1">_xlfn.RANK.EQ(I18, I:I, 1) / COUNT(I:I)</f>
        <v>0.81818181818181823</v>
      </c>
      <c r="K18" s="6">
        <f ca="1">IFERROR((AU18/X18-1), "Error")</f>
        <v>9.3607101228369016E-2</v>
      </c>
      <c r="L18" s="6">
        <f ca="1">_xlfn.RANK.EQ(K18, K:K, 1) / COUNT(K:K)</f>
        <v>0.63636363636363635</v>
      </c>
      <c r="M18" s="6"/>
      <c r="N18" s="6">
        <f ca="1">IF(BW18&lt;&gt;0, (AU18 -BW18) / BW18, "N/A")</f>
        <v>3.990109983800829E-2</v>
      </c>
      <c r="O18" s="2" t="e" vm="358">
        <v>#VALUE!</v>
      </c>
      <c r="P18" s="14" t="s">
        <v>39</v>
      </c>
      <c r="Q18" s="2" t="str">
        <f>P18 &amp; ""</f>
        <v>IWP</v>
      </c>
      <c r="R18" s="14" t="s">
        <v>71</v>
      </c>
      <c r="S18" s="2" t="str" cm="1">
        <f t="array" aca="1" ref="S18" ca="1">_FV(O18,"Name")</f>
        <v>iShares:Russ MC Gr</v>
      </c>
      <c r="T18" s="2" t="str" cm="1">
        <f t="array" aca="1" ref="T18" ca="1">_FV(O18,"Name")</f>
        <v>iShares:Russ MC Gr</v>
      </c>
      <c r="U18" s="2" cm="1" vm="359">
        <f t="array" aca="1" ref="U18:AU18" ca="1">TRANSPOSE(_xlfn.STOCKHISTORY(P18, WORKDAY(TODAY(), -27), TODAY(), 0, 0, 1))</f>
        <v>108.35</v>
      </c>
      <c r="V18" s="2" vm="360">
        <f ca="1"/>
        <v>109.84</v>
      </c>
      <c r="W18" s="2" vm="361">
        <f ca="1"/>
        <v>110.24</v>
      </c>
      <c r="X18" s="2" vm="362">
        <f ca="1"/>
        <v>111.53</v>
      </c>
      <c r="Y18" s="2" vm="363">
        <f ca="1"/>
        <v>112.45</v>
      </c>
      <c r="Z18" s="2" vm="364">
        <f ca="1"/>
        <v>113.75</v>
      </c>
      <c r="AA18" s="2" vm="365">
        <f ca="1"/>
        <v>114.65</v>
      </c>
      <c r="AB18" s="2" vm="366">
        <f ca="1"/>
        <v>115.03</v>
      </c>
      <c r="AC18" s="2" vm="367">
        <f ca="1"/>
        <v>114.84</v>
      </c>
      <c r="AD18" s="2" vm="368">
        <f ca="1"/>
        <v>116.77</v>
      </c>
      <c r="AE18" s="2" vm="369">
        <f ca="1"/>
        <v>116.68</v>
      </c>
      <c r="AF18" s="2" vm="370">
        <f ca="1"/>
        <v>117.32</v>
      </c>
      <c r="AG18" s="2" vm="371">
        <f ca="1"/>
        <v>117.59</v>
      </c>
      <c r="AH18" s="2" vm="372">
        <f ca="1"/>
        <v>116.97</v>
      </c>
      <c r="AI18" s="2" vm="373">
        <f ca="1"/>
        <v>117.12</v>
      </c>
      <c r="AJ18" s="2" vm="374">
        <f ca="1"/>
        <v>117.24</v>
      </c>
      <c r="AK18" s="2" vm="375">
        <f ca="1"/>
        <v>117.29</v>
      </c>
      <c r="AL18" s="2" vm="376">
        <f ca="1"/>
        <v>116.4</v>
      </c>
      <c r="AM18" s="2" vm="377">
        <f ca="1"/>
        <v>116.93</v>
      </c>
      <c r="AN18" s="2" vm="378">
        <f ca="1"/>
        <v>116.84</v>
      </c>
      <c r="AO18" s="2" vm="379">
        <f ca="1"/>
        <v>118.25</v>
      </c>
      <c r="AP18" s="2" vm="375">
        <f ca="1"/>
        <v>117.29</v>
      </c>
      <c r="AQ18" s="2" vm="380">
        <f ca="1"/>
        <v>118.29</v>
      </c>
      <c r="AR18" s="2" vm="381">
        <f ca="1"/>
        <v>119.5</v>
      </c>
      <c r="AS18" s="2" vm="382">
        <f ca="1"/>
        <v>119.33</v>
      </c>
      <c r="AT18" s="2" vm="383">
        <f ca="1"/>
        <v>121.16</v>
      </c>
      <c r="AU18" s="2" vm="384">
        <f ca="1"/>
        <v>121.97</v>
      </c>
      <c r="AV18" s="2">
        <f ca="1">U18/U$4</f>
        <v>0.20051447183359242</v>
      </c>
      <c r="AW18" s="2">
        <f ca="1">V18/V$4</f>
        <v>0.20102121117841915</v>
      </c>
      <c r="AX18" s="2">
        <f ca="1">W18/W$4</f>
        <v>0.20087829588731573</v>
      </c>
      <c r="AY18" s="2">
        <f ca="1">X18/X$4</f>
        <v>0.2011651816312543</v>
      </c>
      <c r="AZ18" s="2">
        <f ca="1">Y18/Y$4</f>
        <v>0.20113040834212739</v>
      </c>
      <c r="BA18" s="2">
        <f ca="1">Z18/Z$4</f>
        <v>0.20239853383391754</v>
      </c>
      <c r="BB18" s="2">
        <f ca="1">AA18/AA$4</f>
        <v>0.20369909743443962</v>
      </c>
      <c r="BC18" s="2">
        <f ca="1">AB18/AB$4</f>
        <v>0.20429076313779812</v>
      </c>
      <c r="BD18" s="2">
        <f ca="1">AC18/AC$4</f>
        <v>0.20456002850017815</v>
      </c>
      <c r="BE18" s="2">
        <f ca="1">AD18/AD$4</f>
        <v>0.2045080388104662</v>
      </c>
      <c r="BF18" s="2">
        <f ca="1">AE18/AE$4</f>
        <v>0.20533216014078312</v>
      </c>
      <c r="BG18" s="2">
        <f ca="1">AF18/AF$4</f>
        <v>0.20594379201994137</v>
      </c>
      <c r="BH18" s="2">
        <f ca="1">AG18/AG$4</f>
        <v>0.20582881148258361</v>
      </c>
      <c r="BI18" s="2">
        <f ca="1">AH18/AH$4</f>
        <v>0.20519612658760789</v>
      </c>
      <c r="BJ18" s="2">
        <f ca="1">AI18/AI$4</f>
        <v>0.20464791193430021</v>
      </c>
      <c r="BK18" s="2">
        <f ca="1">AJ18/AJ$4</f>
        <v>0.20515512625334661</v>
      </c>
      <c r="BL18" s="2">
        <f ca="1">AK18/AK$4</f>
        <v>0.20442345231455664</v>
      </c>
      <c r="BM18" s="2">
        <f ca="1">AL18/AL$4</f>
        <v>0.20470613063205656</v>
      </c>
      <c r="BN18" s="2">
        <f ca="1">AM18/AM$4</f>
        <v>0.20555145378476253</v>
      </c>
      <c r="BO18" s="2">
        <f ca="1">AN18/AN$4</f>
        <v>0.20576943397555561</v>
      </c>
      <c r="BP18" s="2">
        <f ca="1">AO18/AO$4</f>
        <v>0.20637718594017243</v>
      </c>
      <c r="BQ18" s="2">
        <f ca="1">AP18/AP$4</f>
        <v>0.20656921451215218</v>
      </c>
      <c r="BR18" s="2">
        <f ca="1">AQ18/AQ$4</f>
        <v>0.20637856133433363</v>
      </c>
      <c r="BS18" s="2">
        <f ca="1">AR18/AR$4</f>
        <v>0.20705548047267561</v>
      </c>
      <c r="BT18" s="2">
        <f ca="1">AS18/AS$4</f>
        <v>0.20712339228993457</v>
      </c>
      <c r="BU18" s="2"/>
      <c r="BV18" s="2">
        <f ca="1">EOMONTH(TODAY(), -1)</f>
        <v>45565</v>
      </c>
      <c r="BW18" s="2" cm="1" vm="375">
        <f t="array" aca="1" ref="BW18" ca="1">_xlfn.STOCKHISTORY(P18,BV18, BV18, 0, 0, 1)</f>
        <v>117.29</v>
      </c>
      <c r="BX18" s="7">
        <f ca="1">IF(BW18&lt;&gt;0, (AU18 -BW18) / BW18, "N/A")</f>
        <v>3.990109983800829E-2</v>
      </c>
      <c r="BY18" s="7"/>
      <c r="BZ18" s="7"/>
      <c r="CA18" s="8">
        <f ca="1">TODAY() - WEEKDAY(TODAY(), 2) + 1</f>
        <v>45579</v>
      </c>
      <c r="CB18" s="7" cm="1" vm="384">
        <f t="array" aca="1" ref="CB18" ca="1">IFERROR(_xlfn.STOCKHISTORY(P18, WORKDAY(CA18, 0), WORKDAY(CA18, 0), 0, 0, 1), "N/A")</f>
        <v>121.97</v>
      </c>
      <c r="CC18" s="9">
        <f ca="1">IF(CB18&lt;&gt;0, (AU18 - CB18) / CB18, "N/A")</f>
        <v>0</v>
      </c>
      <c r="CD18" s="10">
        <f ca="1">TODAY() - WEEKDAY(TODAY(), 2) - 2</f>
        <v>45576</v>
      </c>
      <c r="CE18" s="11" cm="1" vm="383">
        <f t="array" aca="1" ref="CE18" ca="1">IFERROR(_xlfn.STOCKHISTORY(P18, WORKDAY(CD18, 0), WORKDAY(CD18, 0), 0, 0, 1), "N/A")</f>
        <v>121.16</v>
      </c>
      <c r="CF18" s="12">
        <f ca="1">IF(CE18&lt;&gt;0, (AU18 - CE18) / CE18, "N/A")</f>
        <v>6.6853747111258032E-3</v>
      </c>
      <c r="CG18" s="7"/>
      <c r="CH18" s="2"/>
    </row>
    <row r="19" spans="1:116" x14ac:dyDescent="0.4">
      <c r="B19" s="6" t="str">
        <f ca="1">P19 &amp; " - " &amp; S19</f>
        <v>GDXJ - VanEck:Jr Gold Miners</v>
      </c>
      <c r="C19" s="6"/>
      <c r="D19" s="6" cm="1">
        <f t="array" aca="1" ref="D19" ca="1">_FV(O19,"Änderung (%)",TRUE)</f>
        <v>1.4130000000000002E-3</v>
      </c>
      <c r="E19" s="6">
        <f ca="1">_xlfn.RANK.EQ(D19, D:D, 1) / COUNT(D:D)</f>
        <v>0.4</v>
      </c>
      <c r="F19" s="6">
        <f ca="1">PERCENTRANK(AV19:BT19,BT19)</f>
        <v>0.54100000000000004</v>
      </c>
      <c r="G19" s="6">
        <f ca="1">IF(CE19&lt;&gt;0, (AU19 - CE19) / CE19, "N/A")</f>
        <v>1.4132848778518126E-3</v>
      </c>
      <c r="H19" s="6">
        <f ca="1">(AU19/AP19-1)</f>
        <v>3.8091251569694506E-2</v>
      </c>
      <c r="I19" s="6">
        <f ca="1">IF(BW19&lt;&gt;0, (AU19 -BW19) / BW19, "N/A")</f>
        <v>1.6185207949190723E-2</v>
      </c>
      <c r="J19" s="6">
        <f ca="1">_xlfn.RANK.EQ(I19, I:I, 1) / COUNT(I:I)</f>
        <v>0.36363636363636365</v>
      </c>
      <c r="K19" s="6">
        <f ca="1">IFERROR((AU19/X19-1), "Error")</f>
        <v>0.11136007170064977</v>
      </c>
      <c r="L19" s="6">
        <f ca="1">_xlfn.RANK.EQ(K19, K:K, 1) / COUNT(K:K)</f>
        <v>0.76363636363636367</v>
      </c>
      <c r="M19" s="6"/>
      <c r="N19" s="6">
        <f ca="1">IF(BW19&lt;&gt;0, (AU19 -BW19) / BW19, "N/A")</f>
        <v>1.6185207949190723E-2</v>
      </c>
      <c r="O19" s="2" t="e" vm="385">
        <v>#VALUE!</v>
      </c>
      <c r="P19" s="14" t="s">
        <v>47</v>
      </c>
      <c r="Q19" s="2" t="str">
        <f>P19 &amp; ""</f>
        <v>GDXJ</v>
      </c>
      <c r="R19" s="14" t="s">
        <v>71</v>
      </c>
      <c r="S19" s="2" t="str" cm="1">
        <f t="array" aca="1" ref="S19" ca="1">_FV(O19,"Name")</f>
        <v>VanEck:Jr Gold Miners</v>
      </c>
      <c r="T19" s="2" t="str" cm="1">
        <f t="array" aca="1" ref="T19" ca="1">_FV(O19,"Name")</f>
        <v>VanEck:Jr Gold Miners</v>
      </c>
      <c r="U19" s="2" cm="1" vm="386">
        <f t="array" aca="1" ref="U19:AU19" ca="1">TRANSPOSE(_xlfn.STOCKHISTORY(P19, WORKDAY(TODAY(), -27), TODAY(), 0, 0, 1))</f>
        <v>42.62</v>
      </c>
      <c r="V19" s="2" vm="387">
        <f ca="1"/>
        <v>43.25</v>
      </c>
      <c r="W19" s="2" vm="388">
        <f ca="1"/>
        <v>44.1</v>
      </c>
      <c r="X19" s="2" vm="389">
        <f ca="1"/>
        <v>44.63</v>
      </c>
      <c r="Y19" s="2" vm="390">
        <f ca="1"/>
        <v>47.59</v>
      </c>
      <c r="Z19" s="2" vm="391">
        <f ca="1"/>
        <v>48.98</v>
      </c>
      <c r="AA19" s="2" vm="392">
        <f ca="1"/>
        <v>48.99</v>
      </c>
      <c r="AB19" s="2" vm="393">
        <f ca="1"/>
        <v>48.4</v>
      </c>
      <c r="AC19" s="2" vm="394">
        <f ca="1"/>
        <v>47.58</v>
      </c>
      <c r="AD19" s="2" vm="68">
        <f ca="1"/>
        <v>48.71</v>
      </c>
      <c r="AE19" s="2" vm="395">
        <f ca="1"/>
        <v>49.71</v>
      </c>
      <c r="AF19" s="2" vm="396">
        <f ca="1"/>
        <v>49.2</v>
      </c>
      <c r="AG19" s="2" vm="397">
        <f ca="1"/>
        <v>51.12</v>
      </c>
      <c r="AH19" s="2" vm="398">
        <f ca="1"/>
        <v>50.53</v>
      </c>
      <c r="AI19" s="2" vm="399">
        <f ca="1"/>
        <v>51.19</v>
      </c>
      <c r="AJ19" s="2" vm="400">
        <f ca="1"/>
        <v>49.62</v>
      </c>
      <c r="AK19" s="2" vm="401">
        <f ca="1"/>
        <v>48.81</v>
      </c>
      <c r="AL19" s="2" vm="402">
        <f ca="1"/>
        <v>49.76</v>
      </c>
      <c r="AM19" s="2" vm="403">
        <f ca="1"/>
        <v>49.5</v>
      </c>
      <c r="AN19" s="2" vm="67">
        <f ca="1"/>
        <v>48.52</v>
      </c>
      <c r="AO19" s="2" vm="404">
        <f ca="1"/>
        <v>48.64</v>
      </c>
      <c r="AP19" s="2" vm="405">
        <f ca="1"/>
        <v>47.78</v>
      </c>
      <c r="AQ19" s="2" vm="339">
        <f ca="1"/>
        <v>47.77</v>
      </c>
      <c r="AR19" s="2" vm="406">
        <f ca="1"/>
        <v>47.51</v>
      </c>
      <c r="AS19" s="2" vm="407">
        <f ca="1"/>
        <v>49.27</v>
      </c>
      <c r="AT19" s="2" vm="408">
        <f ca="1"/>
        <v>49.53</v>
      </c>
      <c r="AU19" s="2" vm="409">
        <f ca="1"/>
        <v>49.6</v>
      </c>
      <c r="AV19" s="2">
        <f ca="1">U19/U$4</f>
        <v>7.8873343696794718E-2</v>
      </c>
      <c r="AW19" s="2">
        <f ca="1">V19/V$4</f>
        <v>7.9153016965282486E-2</v>
      </c>
      <c r="AX19" s="2">
        <f ca="1">W19/W$4</f>
        <v>8.0358607117476638E-2</v>
      </c>
      <c r="AY19" s="2">
        <f ca="1">X19/X$4</f>
        <v>8.0498539013744097E-2</v>
      </c>
      <c r="AZ19" s="2">
        <f ca="1">Y19/Y$4</f>
        <v>8.5120463610509942E-2</v>
      </c>
      <c r="BA19" s="2">
        <f ca="1">Z19/Z$4</f>
        <v>8.7151474173057408E-2</v>
      </c>
      <c r="BB19" s="2">
        <f ca="1">AA19/AA$4</f>
        <v>8.7040722052448297E-2</v>
      </c>
      <c r="BC19" s="2">
        <f ca="1">AB19/AB$4</f>
        <v>8.5957341005558796E-2</v>
      </c>
      <c r="BD19" s="2">
        <f ca="1">AC19/AC$4</f>
        <v>8.4752404702529385E-2</v>
      </c>
      <c r="BE19" s="2">
        <f ca="1">AD19/AD$4</f>
        <v>8.5309467932326882E-2</v>
      </c>
      <c r="BF19" s="2">
        <f ca="1">AE19/AE$4</f>
        <v>8.747910250769908E-2</v>
      </c>
      <c r="BG19" s="2">
        <f ca="1">AF19/AF$4</f>
        <v>8.6365790720943719E-2</v>
      </c>
      <c r="BH19" s="2">
        <f ca="1">AG19/AG$4</f>
        <v>8.9480133029931741E-2</v>
      </c>
      <c r="BI19" s="2">
        <f ca="1">AH19/AH$4</f>
        <v>8.8642902252473524E-2</v>
      </c>
      <c r="BJ19" s="2">
        <f ca="1">AI19/AI$4</f>
        <v>8.9446094705574006E-2</v>
      </c>
      <c r="BK19" s="2">
        <f ca="1">AJ19/AJ$4</f>
        <v>8.6828704918893371E-2</v>
      </c>
      <c r="BL19" s="2">
        <f ca="1">AK19/AK$4</f>
        <v>8.5070412716118246E-2</v>
      </c>
      <c r="BM19" s="2">
        <f ca="1">AL19/AL$4</f>
        <v>8.7510112201470217E-2</v>
      </c>
      <c r="BN19" s="2">
        <f ca="1">AM19/AM$4</f>
        <v>8.7016137538234367E-2</v>
      </c>
      <c r="BO19" s="2">
        <f ca="1">AN19/AN$4</f>
        <v>8.5449614314395406E-2</v>
      </c>
      <c r="BP19" s="2">
        <f ca="1">AO19/AO$4</f>
        <v>8.4889524939788477E-2</v>
      </c>
      <c r="BQ19" s="2">
        <f ca="1">AP19/AP$4</f>
        <v>8.4149348362099335E-2</v>
      </c>
      <c r="BR19" s="2">
        <f ca="1">AQ19/AQ$4</f>
        <v>8.3343510651290198E-2</v>
      </c>
      <c r="BS19" s="2">
        <f ca="1">AR19/AR$4</f>
        <v>8.2319714454031953E-2</v>
      </c>
      <c r="BT19" s="2">
        <f ca="1">AS19/AS$4</f>
        <v>8.5518893305330398E-2</v>
      </c>
      <c r="BU19" s="2"/>
      <c r="BV19" s="2">
        <f ca="1">EOMONTH(TODAY(), -1)</f>
        <v>45565</v>
      </c>
      <c r="BW19" s="2" cm="1" vm="401">
        <f t="array" aca="1" ref="BW19" ca="1">_xlfn.STOCKHISTORY(P19,BV19, BV19, 0, 0, 1)</f>
        <v>48.81</v>
      </c>
      <c r="BX19" s="7">
        <f ca="1">IF(BW19&lt;&gt;0, (AU19 -BW19) / BW19, "N/A")</f>
        <v>1.6185207949190723E-2</v>
      </c>
      <c r="BY19" s="7"/>
      <c r="BZ19" s="7"/>
      <c r="CA19" s="8">
        <f ca="1">TODAY() - WEEKDAY(TODAY(), 2) + 1</f>
        <v>45579</v>
      </c>
      <c r="CB19" s="7" cm="1" vm="409">
        <f t="array" aca="1" ref="CB19" ca="1">IFERROR(_xlfn.STOCKHISTORY(P19, WORKDAY(CA19, 0), WORKDAY(CA19, 0), 0, 0, 1), "N/A")</f>
        <v>49.6</v>
      </c>
      <c r="CC19" s="9">
        <f ca="1">IF(CB19&lt;&gt;0, (AU19 - CB19) / CB19, "N/A")</f>
        <v>0</v>
      </c>
      <c r="CD19" s="10">
        <f ca="1">TODAY() - WEEKDAY(TODAY(), 2) - 2</f>
        <v>45576</v>
      </c>
      <c r="CE19" s="11" cm="1" vm="408">
        <f t="array" aca="1" ref="CE19" ca="1">IFERROR(_xlfn.STOCKHISTORY(P19, WORKDAY(CD19, 0), WORKDAY(CD19, 0), 0, 0, 1), "N/A")</f>
        <v>49.53</v>
      </c>
      <c r="CF19" s="12">
        <f ca="1">IF(CE19&lt;&gt;0, (AU19 - CE19) / CE19, "N/A")</f>
        <v>1.4132848778518126E-3</v>
      </c>
      <c r="CG19" s="7"/>
      <c r="CH19" s="2"/>
    </row>
    <row r="20" spans="1:116" x14ac:dyDescent="0.4">
      <c r="B20" s="6" t="str">
        <f ca="1">P20 &amp; " - " &amp; S20</f>
        <v>MGK - Vanguard MC Gro;ETF</v>
      </c>
      <c r="C20" s="6"/>
      <c r="D20" s="6" cm="1">
        <f t="array" aca="1" ref="D20" ca="1">_FV(O20,"Änderung (%)",TRUE)</f>
        <v>9.783E-3</v>
      </c>
      <c r="E20" s="6">
        <f ca="1">_xlfn.RANK.EQ(D20, D:D, 1) / COUNT(D:D)</f>
        <v>0.87272727272727268</v>
      </c>
      <c r="F20" s="6">
        <f ca="1">PERCENTRANK(AV20:BT20,BT20)</f>
        <v>0.95799999999999996</v>
      </c>
      <c r="G20" s="6">
        <f ca="1">IF(CE20&lt;&gt;0, (AU20 - CE20) / CE20, "N/A")</f>
        <v>9.7834112724587939E-3</v>
      </c>
      <c r="H20" s="6">
        <f ca="1">(AU20/AP20-1)</f>
        <v>3.4871988901500783E-2</v>
      </c>
      <c r="I20" s="6">
        <f ca="1">IF(BW20&lt;&gt;0, (AU20 -BW20) / BW20, "N/A")</f>
        <v>1.9475073769218944E-2</v>
      </c>
      <c r="J20" s="6">
        <f ca="1">_xlfn.RANK.EQ(I20, I:I, 1) / COUNT(I:I)</f>
        <v>0.49090909090909091</v>
      </c>
      <c r="K20" s="6">
        <f ca="1">IFERROR((AU20/X20-1), "Error")</f>
        <v>5.5335841291276999E-2</v>
      </c>
      <c r="L20" s="6">
        <f ca="1">_xlfn.RANK.EQ(K20, K:K, 1) / COUNT(K:K)</f>
        <v>0.25454545454545452</v>
      </c>
      <c r="M20" s="6"/>
      <c r="N20" s="6">
        <f ca="1">IF(BW20&lt;&gt;0, (AU20 -BW20) / BW20, "N/A")</f>
        <v>1.9475073769218944E-2</v>
      </c>
      <c r="O20" s="2" t="e" vm="410">
        <v>#VALUE!</v>
      </c>
      <c r="P20" s="14" t="s">
        <v>50</v>
      </c>
      <c r="Q20" s="2" t="str">
        <f>P20 &amp; ""</f>
        <v>MGK</v>
      </c>
      <c r="R20" s="14" t="s">
        <v>71</v>
      </c>
      <c r="S20" s="2" t="str" cm="1">
        <f t="array" aca="1" ref="S20" ca="1">_FV(O20,"Name")</f>
        <v>Vanguard MC Gro;ETF</v>
      </c>
      <c r="T20" s="2" t="str" cm="1">
        <f t="array" aca="1" ref="T20" ca="1">_FV(O20,"Name")</f>
        <v>Vanguard MC Gro;ETF</v>
      </c>
      <c r="U20" s="2" cm="1" vm="411">
        <f t="array" aca="1" ref="U20:AU20" ca="1">TRANSPOSE(_xlfn.STOCKHISTORY(P20, WORKDAY(TODAY(), -27), TODAY(), 0, 0, 1))</f>
        <v>298.64999999999998</v>
      </c>
      <c r="V20" s="2" vm="412">
        <f ca="1"/>
        <v>302.33</v>
      </c>
      <c r="W20" s="2" vm="413">
        <f ca="1"/>
        <v>304.55</v>
      </c>
      <c r="X20" s="2" vm="414">
        <f ca="1"/>
        <v>311.01</v>
      </c>
      <c r="Y20" s="2" vm="415">
        <f ca="1"/>
        <v>314.05</v>
      </c>
      <c r="Z20" s="2" vm="416">
        <f ca="1"/>
        <v>314.95999999999998</v>
      </c>
      <c r="AA20" s="2" vm="417">
        <f ca="1"/>
        <v>313.77</v>
      </c>
      <c r="AB20" s="2" vm="418">
        <f ca="1"/>
        <v>313.95</v>
      </c>
      <c r="AC20" s="2" vm="419">
        <f ca="1"/>
        <v>312.44</v>
      </c>
      <c r="AD20" s="2" vm="420">
        <f ca="1"/>
        <v>320.32</v>
      </c>
      <c r="AE20" s="2" vm="421">
        <f ca="1"/>
        <v>319.32</v>
      </c>
      <c r="AF20" s="2" vm="422">
        <f ca="1"/>
        <v>319.92</v>
      </c>
      <c r="AG20" s="2" vm="423">
        <f ca="1"/>
        <v>321.47000000000003</v>
      </c>
      <c r="AH20" s="2" vm="424">
        <f ca="1"/>
        <v>322.08999999999997</v>
      </c>
      <c r="AI20" s="2" vm="425">
        <f ca="1"/>
        <v>322.58999999999997</v>
      </c>
      <c r="AJ20" s="2" vm="426">
        <f ca="1"/>
        <v>320.36</v>
      </c>
      <c r="AK20" s="2" vm="427">
        <f ca="1"/>
        <v>321.95</v>
      </c>
      <c r="AL20" s="2" vm="428">
        <f ca="1"/>
        <v>316.94</v>
      </c>
      <c r="AM20" s="2" vm="429">
        <f ca="1"/>
        <v>317.13</v>
      </c>
      <c r="AN20" s="2" vm="430">
        <f ca="1"/>
        <v>317.72000000000003</v>
      </c>
      <c r="AO20" s="2" vm="431">
        <f ca="1"/>
        <v>321.08</v>
      </c>
      <c r="AP20" s="2" vm="432">
        <f ca="1"/>
        <v>317.16000000000003</v>
      </c>
      <c r="AQ20" s="2" vm="433">
        <f ca="1"/>
        <v>322.82</v>
      </c>
      <c r="AR20" s="2" vm="434">
        <f ca="1"/>
        <v>324.88</v>
      </c>
      <c r="AS20" s="2" vm="435">
        <f ca="1"/>
        <v>324.8</v>
      </c>
      <c r="AT20" s="2" vm="436">
        <f ca="1"/>
        <v>325.04000000000002</v>
      </c>
      <c r="AU20" s="2" vm="437">
        <f ca="1"/>
        <v>328.22</v>
      </c>
      <c r="AV20" s="2">
        <f ca="1">U20/U$4</f>
        <v>0.55268709749056177</v>
      </c>
      <c r="AW20" s="2">
        <f ca="1">V20/V$4</f>
        <v>0.55330246518182313</v>
      </c>
      <c r="AX20" s="2">
        <f ca="1">W20/W$4</f>
        <v>0.55494815867636083</v>
      </c>
      <c r="AY20" s="2">
        <f ca="1">X20/X$4</f>
        <v>0.56096461166624578</v>
      </c>
      <c r="AZ20" s="2">
        <f ca="1">Y20/Y$4</f>
        <v>0.56171636051440732</v>
      </c>
      <c r="BA20" s="2">
        <f ca="1">Z20/Z$4</f>
        <v>0.56041707442928057</v>
      </c>
      <c r="BB20" s="2">
        <f ca="1">AA20/AA$4</f>
        <v>0.55747636983867521</v>
      </c>
      <c r="BC20" s="2">
        <f ca="1">AB20/AB$4</f>
        <v>0.55756833075816503</v>
      </c>
      <c r="BD20" s="2">
        <f ca="1">AC20/AC$4</f>
        <v>0.55653722835767727</v>
      </c>
      <c r="BE20" s="2">
        <f ca="1">AD20/AD$4</f>
        <v>0.56100038530246243</v>
      </c>
      <c r="BF20" s="2">
        <f ca="1">AE20/AE$4</f>
        <v>0.56193576770787501</v>
      </c>
      <c r="BG20" s="2">
        <f ca="1">AF20/AF$4</f>
        <v>0.56158828795618521</v>
      </c>
      <c r="BH20" s="2">
        <f ca="1">AG20/AG$4</f>
        <v>0.56269910729914241</v>
      </c>
      <c r="BI20" s="2">
        <f ca="1">AH20/AH$4</f>
        <v>0.56503052417374222</v>
      </c>
      <c r="BJ20" s="2">
        <f ca="1">AI20/AI$4</f>
        <v>0.5636728988292854</v>
      </c>
      <c r="BK20" s="2">
        <f ca="1">AJ20/AJ$4</f>
        <v>0.56058935727159775</v>
      </c>
      <c r="BL20" s="2">
        <f ca="1">AK20/AK$4</f>
        <v>0.56112311767986611</v>
      </c>
      <c r="BM20" s="2">
        <f ca="1">AL20/AL$4</f>
        <v>0.55738454503886603</v>
      </c>
      <c r="BN20" s="2">
        <f ca="1">AM20/AM$4</f>
        <v>0.5574833878282881</v>
      </c>
      <c r="BO20" s="2">
        <f ca="1">AN20/AN$4</f>
        <v>0.55954351731182417</v>
      </c>
      <c r="BP20" s="2">
        <f ca="1">AO20/AO$4</f>
        <v>0.56036859925302795</v>
      </c>
      <c r="BQ20" s="2">
        <f ca="1">AP20/AP$4</f>
        <v>0.55857696371961962</v>
      </c>
      <c r="BR20" s="2">
        <f ca="1">AQ20/AQ$4</f>
        <v>0.56321859134288255</v>
      </c>
      <c r="BS20" s="2">
        <f ca="1">AR20/AR$4</f>
        <v>0.56291367779048407</v>
      </c>
      <c r="BT20" s="2">
        <f ca="1">AS20/AS$4</f>
        <v>0.56376165101626374</v>
      </c>
      <c r="BU20" s="2"/>
      <c r="BV20" s="2">
        <f ca="1">EOMONTH(TODAY(), -1)</f>
        <v>45565</v>
      </c>
      <c r="BW20" s="2" cm="1" vm="427">
        <f t="array" aca="1" ref="BW20" ca="1">_xlfn.STOCKHISTORY(P20,BV20, BV20, 0, 0, 1)</f>
        <v>321.95</v>
      </c>
      <c r="BX20" s="7">
        <f ca="1">IF(BW20&lt;&gt;0, (AU20 -BW20) / BW20, "N/A")</f>
        <v>1.9475073769218944E-2</v>
      </c>
      <c r="BY20" s="7"/>
      <c r="BZ20" s="7"/>
      <c r="CA20" s="8">
        <f ca="1">TODAY() - WEEKDAY(TODAY(), 2) + 1</f>
        <v>45579</v>
      </c>
      <c r="CB20" s="7" cm="1" vm="437">
        <f t="array" aca="1" ref="CB20" ca="1">IFERROR(_xlfn.STOCKHISTORY(P20, WORKDAY(CA20, 0), WORKDAY(CA20, 0), 0, 0, 1), "N/A")</f>
        <v>328.22</v>
      </c>
      <c r="CC20" s="9">
        <f ca="1">IF(CB20&lt;&gt;0, (AU20 - CB20) / CB20, "N/A")</f>
        <v>0</v>
      </c>
      <c r="CD20" s="10">
        <f ca="1">TODAY() - WEEKDAY(TODAY(), 2) - 2</f>
        <v>45576</v>
      </c>
      <c r="CE20" s="11" cm="1" vm="436">
        <f t="array" aca="1" ref="CE20" ca="1">IFERROR(_xlfn.STOCKHISTORY(P20, WORKDAY(CD20, 0), WORKDAY(CD20, 0), 0, 0, 1), "N/A")</f>
        <v>325.04000000000002</v>
      </c>
      <c r="CF20" s="12">
        <f ca="1">IF(CE20&lt;&gt;0, (AU20 - CE20) / CE20, "N/A")</f>
        <v>9.7834112724587939E-3</v>
      </c>
      <c r="CG20" s="7"/>
      <c r="CH20" s="2"/>
    </row>
    <row r="21" spans="1:116" x14ac:dyDescent="0.4">
      <c r="B21" s="6" t="str">
        <f ca="1">P21 &amp; " - " &amp; S21</f>
        <v>SIL - Glbl X Silver Miners ETF</v>
      </c>
      <c r="C21" s="6"/>
      <c r="D21" s="6" cm="1">
        <f t="array" aca="1" ref="D21" ca="1">_FV(O21,"Änderung (%)",TRUE)</f>
        <v>-3.297E-3</v>
      </c>
      <c r="E21" s="6">
        <f ca="1">_xlfn.RANK.EQ(D21, D:D, 1) / COUNT(D:D)</f>
        <v>0.2</v>
      </c>
      <c r="F21" s="6">
        <f ca="1">PERCENTRANK(AV21:BT21,BT21)</f>
        <v>0.83299999999999996</v>
      </c>
      <c r="G21" s="6">
        <f ca="1">IF(CE21&lt;&gt;0, (AU21 - CE21) / CE21, "N/A")</f>
        <v>-3.2967032967032264E-3</v>
      </c>
      <c r="H21" s="6">
        <f ca="1">(AU21/AP21-1)</f>
        <v>3.4502423723980602E-2</v>
      </c>
      <c r="I21" s="6">
        <f ca="1">IF(BW21&lt;&gt;0, (AU21 -BW21) / BW21, "N/A")</f>
        <v>3.3912795668281495E-2</v>
      </c>
      <c r="J21" s="6">
        <f ca="1">_xlfn.RANK.EQ(I21, I:I, 1) / COUNT(I:I)</f>
        <v>0.69090909090909092</v>
      </c>
      <c r="K21" s="6">
        <f ca="1">IFERROR((AU21/X21-1), "Error")</f>
        <v>0.15321042593769874</v>
      </c>
      <c r="L21" s="6">
        <f ca="1">_xlfn.RANK.EQ(K21, K:K, 1) / COUNT(K:K)</f>
        <v>0.89090909090909087</v>
      </c>
      <c r="M21" s="6"/>
      <c r="N21" s="6">
        <f ca="1">IF(BW21&lt;&gt;0, (AU21 -BW21) / BW21, "N/A")</f>
        <v>3.3912795668281495E-2</v>
      </c>
      <c r="O21" s="2" t="e" vm="438">
        <v>#VALUE!</v>
      </c>
      <c r="P21" s="14" t="s">
        <v>32</v>
      </c>
      <c r="Q21" s="2" t="str">
        <f>P21 &amp; ""</f>
        <v>SIL</v>
      </c>
      <c r="R21" s="14" t="s">
        <v>71</v>
      </c>
      <c r="S21" s="2" t="str" cm="1">
        <f t="array" aca="1" ref="S21" ca="1">_FV(O21,"Name")</f>
        <v>Glbl X Silver Miners ETF</v>
      </c>
      <c r="T21" s="2" t="str" cm="1">
        <f t="array" aca="1" ref="T21" ca="1">_FV(O21,"Name")</f>
        <v>Glbl X Silver Miners ETF</v>
      </c>
      <c r="U21" s="2" cm="1" vm="439">
        <f t="array" aca="1" ref="U21:AU21" ca="1">TRANSPOSE(_xlfn.STOCKHISTORY(P21, WORKDAY(TODAY(), -27), TODAY(), 0, 0, 1))</f>
        <v>30.15</v>
      </c>
      <c r="V21" s="2" vm="440">
        <f ca="1"/>
        <v>30.36</v>
      </c>
      <c r="W21" s="2" vm="441">
        <f ca="1"/>
        <v>30.8</v>
      </c>
      <c r="X21" s="2" vm="442">
        <f ca="1"/>
        <v>31.46</v>
      </c>
      <c r="Y21" s="2" vm="443">
        <f ca="1"/>
        <v>33.53</v>
      </c>
      <c r="Z21" s="2" vm="444">
        <f ca="1"/>
        <v>35.200000000000003</v>
      </c>
      <c r="AA21" s="2" vm="445">
        <f ca="1"/>
        <v>35.19</v>
      </c>
      <c r="AB21" s="2" vm="446">
        <f ca="1"/>
        <v>34.880000000000003</v>
      </c>
      <c r="AC21" s="2" vm="447">
        <f ca="1"/>
        <v>34.299999999999997</v>
      </c>
      <c r="AD21" s="2" vm="448">
        <f ca="1"/>
        <v>35.03</v>
      </c>
      <c r="AE21" s="2" vm="449">
        <f ca="1"/>
        <v>35.53</v>
      </c>
      <c r="AF21" s="2" vm="450">
        <f ca="1"/>
        <v>35.14</v>
      </c>
      <c r="AG21" s="2" vm="451">
        <f ca="1"/>
        <v>36.9</v>
      </c>
      <c r="AH21" s="2" vm="452">
        <f ca="1"/>
        <v>36.86</v>
      </c>
      <c r="AI21" s="2" vm="453">
        <f ca="1"/>
        <v>37.450000000000003</v>
      </c>
      <c r="AJ21" s="2" vm="454">
        <f ca="1"/>
        <v>36.090000000000003</v>
      </c>
      <c r="AK21" s="2" vm="455">
        <f ca="1"/>
        <v>35.090000000000003</v>
      </c>
      <c r="AL21" s="2" vm="456">
        <f ca="1"/>
        <v>35.33</v>
      </c>
      <c r="AM21" s="2" vm="38">
        <f ca="1"/>
        <v>35.700000000000003</v>
      </c>
      <c r="AN21" s="2" vm="457">
        <f ca="1"/>
        <v>35.619999999999997</v>
      </c>
      <c r="AO21" s="2" vm="458">
        <f ca="1"/>
        <v>35.770000000000003</v>
      </c>
      <c r="AP21" s="2" vm="459">
        <f ca="1"/>
        <v>35.07</v>
      </c>
      <c r="AQ21" s="2" vm="460">
        <f ca="1"/>
        <v>35.01</v>
      </c>
      <c r="AR21" s="2" vm="461">
        <f ca="1"/>
        <v>35.08</v>
      </c>
      <c r="AS21" s="2" vm="462">
        <f ca="1"/>
        <v>36.299999999999997</v>
      </c>
      <c r="AT21" s="2" vm="463">
        <f ca="1"/>
        <v>36.4</v>
      </c>
      <c r="AU21" s="2" vm="464">
        <f ca="1"/>
        <v>36.28</v>
      </c>
      <c r="AV21" s="2">
        <f ca="1">U21/U$4</f>
        <v>5.5796135909393731E-2</v>
      </c>
      <c r="AW21" s="2">
        <f ca="1">V21/V$4</f>
        <v>5.5562672718288464E-2</v>
      </c>
      <c r="AX21" s="2">
        <f ca="1">W21/W$4</f>
        <v>5.6123471637602729E-2</v>
      </c>
      <c r="AY21" s="2">
        <f ca="1">X21/X$4</f>
        <v>5.6743984704736489E-2</v>
      </c>
      <c r="AZ21" s="2">
        <f ca="1">Y21/Y$4</f>
        <v>5.9972455239764619E-2</v>
      </c>
      <c r="BA21" s="2">
        <f ca="1">Z21/Z$4</f>
        <v>6.2632337502891419E-2</v>
      </c>
      <c r="BB21" s="2">
        <f ca="1">AA21/AA$4</f>
        <v>6.25222087982375E-2</v>
      </c>
      <c r="BC21" s="2">
        <f ca="1">AB21/AB$4</f>
        <v>6.1946116823840727E-2</v>
      </c>
      <c r="BD21" s="2">
        <f ca="1">AC21/AC$4</f>
        <v>6.1097256857855359E-2</v>
      </c>
      <c r="BE21" s="2">
        <f ca="1">AD21/AD$4</f>
        <v>6.1350660268310625E-2</v>
      </c>
      <c r="BF21" s="2">
        <f ca="1">AE21/AE$4</f>
        <v>6.2525296964364277E-2</v>
      </c>
      <c r="BG21" s="2">
        <f ca="1">AF21/AF$4</f>
        <v>6.1684835079958575E-2</v>
      </c>
      <c r="BH21" s="2">
        <f ca="1">AG21/AG$4</f>
        <v>6.4589532644845099E-2</v>
      </c>
      <c r="BI21" s="2">
        <f ca="1">AH21/AH$4</f>
        <v>6.4662128973405383E-2</v>
      </c>
      <c r="BJ21" s="2">
        <f ca="1">AI21/AI$4</f>
        <v>6.5437707496068503E-2</v>
      </c>
      <c r="BK21" s="2">
        <f ca="1">AJ21/AJ$4</f>
        <v>6.3152921413197546E-2</v>
      </c>
      <c r="BL21" s="2">
        <f ca="1">AK21/AK$4</f>
        <v>6.1157975460122707E-2</v>
      </c>
      <c r="BM21" s="2">
        <f ca="1">AL21/AL$4</f>
        <v>6.2132883120537441E-2</v>
      </c>
      <c r="BN21" s="2">
        <f ca="1">AM21/AM$4</f>
        <v>6.27570931336357E-2</v>
      </c>
      <c r="BO21" s="2">
        <f ca="1">AN21/AN$4</f>
        <v>6.2731147194533474E-2</v>
      </c>
      <c r="BP21" s="2">
        <f ca="1">AO21/AO$4</f>
        <v>6.242800795839297E-2</v>
      </c>
      <c r="BQ21" s="2">
        <f ca="1">AP21/AP$4</f>
        <v>6.1764705882352944E-2</v>
      </c>
      <c r="BR21" s="2">
        <f ca="1">AQ21/AQ$4</f>
        <v>6.1081354571942005E-2</v>
      </c>
      <c r="BS21" s="2">
        <f ca="1">AR21/AR$4</f>
        <v>6.0782479121183765E-2</v>
      </c>
      <c r="BT21" s="2">
        <f ca="1">AS21/AS$4</f>
        <v>6.3006613090795471E-2</v>
      </c>
      <c r="BU21" s="2"/>
      <c r="BV21" s="2">
        <f ca="1">EOMONTH(TODAY(), -1)</f>
        <v>45565</v>
      </c>
      <c r="BW21" s="2" cm="1" vm="455">
        <f t="array" aca="1" ref="BW21" ca="1">_xlfn.STOCKHISTORY(P21,BV21, BV21, 0, 0, 1)</f>
        <v>35.090000000000003</v>
      </c>
      <c r="BX21" s="7">
        <f ca="1">IF(BW21&lt;&gt;0, (AU21 -BW21) / BW21, "N/A")</f>
        <v>3.3912795668281495E-2</v>
      </c>
      <c r="BY21" s="7"/>
      <c r="BZ21" s="7"/>
      <c r="CA21" s="8">
        <f ca="1">TODAY() - WEEKDAY(TODAY(), 2) + 1</f>
        <v>45579</v>
      </c>
      <c r="CB21" s="7" cm="1" vm="464">
        <f t="array" aca="1" ref="CB21" ca="1">IFERROR(_xlfn.STOCKHISTORY(P21, WORKDAY(CA21, 0), WORKDAY(CA21, 0), 0, 0, 1), "N/A")</f>
        <v>36.28</v>
      </c>
      <c r="CC21" s="9">
        <f ca="1">IF(CB21&lt;&gt;0, (AU21 - CB21) / CB21, "N/A")</f>
        <v>0</v>
      </c>
      <c r="CD21" s="10">
        <f ca="1">TODAY() - WEEKDAY(TODAY(), 2) - 2</f>
        <v>45576</v>
      </c>
      <c r="CE21" s="11" cm="1" vm="463">
        <f t="array" aca="1" ref="CE21" ca="1">IFERROR(_xlfn.STOCKHISTORY(P21, WORKDAY(CD21, 0), WORKDAY(CD21, 0), 0, 0, 1), "N/A")</f>
        <v>36.4</v>
      </c>
      <c r="CF21" s="12">
        <f ca="1">IF(CE21&lt;&gt;0, (AU21 - CE21) / CE21, "N/A")</f>
        <v>-3.2967032967032264E-3</v>
      </c>
      <c r="CG21" s="7"/>
      <c r="CH21" s="2"/>
    </row>
    <row r="22" spans="1:116" x14ac:dyDescent="0.4">
      <c r="B22" s="6" t="str">
        <f ca="1">P22 &amp; " - " &amp; S22</f>
        <v>VONG - Vanguard Rus 1000 GI;ETF</v>
      </c>
      <c r="C22" s="6"/>
      <c r="D22" s="6" cm="1">
        <f t="array" aca="1" ref="D22" ca="1">_FV(O22,"Änderung (%)",TRUE)</f>
        <v>8.8939999999999991E-3</v>
      </c>
      <c r="E22" s="6">
        <f ca="1">_xlfn.RANK.EQ(D22, D:D, 1) / COUNT(D:D)</f>
        <v>0.81818181818181823</v>
      </c>
      <c r="F22" s="6">
        <f ca="1">PERCENTRANK(AV22:BT22,BT22)</f>
        <v>0.95799999999999996</v>
      </c>
      <c r="G22" s="6">
        <f ca="1">IF(CE22&lt;&gt;0, (AU22 - CE22) / CE22, "N/A")</f>
        <v>8.8938867307299593E-3</v>
      </c>
      <c r="H22" s="6">
        <f ca="1">(AU22/AP22-1)</f>
        <v>3.4377947804213438E-2</v>
      </c>
      <c r="I22" s="6">
        <f ca="1">IF(BW22&lt;&gt;0, (AU22 -BW22) / BW22, "N/A")</f>
        <v>2.2482387070037316E-2</v>
      </c>
      <c r="J22" s="6">
        <f ca="1">_xlfn.RANK.EQ(I22, I:I, 1) / COUNT(I:I)</f>
        <v>0.58181818181818179</v>
      </c>
      <c r="K22" s="6">
        <f ca="1">IFERROR((AU22/X22-1), "Error")</f>
        <v>6.2210741577870987E-2</v>
      </c>
      <c r="L22" s="6">
        <f ca="1">_xlfn.RANK.EQ(K22, K:K, 1) / COUNT(K:K)</f>
        <v>0.32727272727272727</v>
      </c>
      <c r="M22" s="6"/>
      <c r="N22" s="6">
        <f ca="1">IF(BW22&lt;&gt;0, (AU22 -BW22) / BW22, "N/A")</f>
        <v>2.2482387070037316E-2</v>
      </c>
      <c r="O22" s="2" t="e" vm="465">
        <v>#VALUE!</v>
      </c>
      <c r="P22" s="14" t="s">
        <v>41</v>
      </c>
      <c r="Q22" s="2" t="str">
        <f>P22 &amp; ""</f>
        <v>VONG</v>
      </c>
      <c r="R22" s="14" t="s">
        <v>71</v>
      </c>
      <c r="S22" s="2" t="str" cm="1">
        <f t="array" aca="1" ref="S22" ca="1">_FV(O22,"Name")</f>
        <v>Vanguard Rus 1000 GI;ETF</v>
      </c>
      <c r="T22" s="2" t="str" cm="1">
        <f t="array" aca="1" ref="T22" ca="1">_FV(O22,"Name")</f>
        <v>Vanguard Rus 1000 GI;ETF</v>
      </c>
      <c r="U22" s="2" cm="1" vm="466">
        <f t="array" aca="1" ref="U22:AU22" ca="1">TRANSPOSE(_xlfn.STOCKHISTORY(P22, WORKDAY(TODAY(), -27), TODAY(), 0, 0, 1))</f>
        <v>89.12</v>
      </c>
      <c r="V22" s="2" vm="467">
        <f ca="1"/>
        <v>90.14</v>
      </c>
      <c r="W22" s="2" vm="468">
        <f ca="1"/>
        <v>90.92</v>
      </c>
      <c r="X22" s="2" vm="469">
        <f ca="1"/>
        <v>92.91</v>
      </c>
      <c r="Y22" s="2" vm="470">
        <f ca="1"/>
        <v>93.99</v>
      </c>
      <c r="Z22" s="2" vm="471">
        <f ca="1"/>
        <v>94.42</v>
      </c>
      <c r="AA22" s="2" vm="472">
        <f ca="1"/>
        <v>94.1</v>
      </c>
      <c r="AB22" s="2" vm="473">
        <f ca="1"/>
        <v>94.2</v>
      </c>
      <c r="AC22" s="2" vm="474">
        <f ca="1"/>
        <v>93.87</v>
      </c>
      <c r="AD22" s="2" vm="475">
        <f ca="1"/>
        <v>96.11</v>
      </c>
      <c r="AE22" s="2" vm="476">
        <f ca="1"/>
        <v>95.89</v>
      </c>
      <c r="AF22" s="2" vm="477">
        <f ca="1"/>
        <v>96.08</v>
      </c>
      <c r="AG22" s="2" vm="478">
        <f ca="1"/>
        <v>96.5</v>
      </c>
      <c r="AH22" s="2" vm="479">
        <f ca="1"/>
        <v>96.64</v>
      </c>
      <c r="AI22" s="2" vm="480">
        <f ca="1"/>
        <v>96.65</v>
      </c>
      <c r="AJ22" s="2" vm="481">
        <f ca="1"/>
        <v>96.13</v>
      </c>
      <c r="AK22" s="2" vm="482">
        <f ca="1"/>
        <v>96.52</v>
      </c>
      <c r="AL22" s="2" vm="483">
        <f ca="1"/>
        <v>95.27</v>
      </c>
      <c r="AM22" s="2" vm="484">
        <f ca="1"/>
        <v>95.38</v>
      </c>
      <c r="AN22" s="2" vm="485">
        <f ca="1"/>
        <v>95.39</v>
      </c>
      <c r="AO22" s="2" vm="486">
        <f ca="1"/>
        <v>96.44</v>
      </c>
      <c r="AP22" s="2" vm="487">
        <f ca="1"/>
        <v>95.41</v>
      </c>
      <c r="AQ22" s="2" vm="488">
        <f ca="1"/>
        <v>96.95</v>
      </c>
      <c r="AR22" s="2" vm="489">
        <f ca="1"/>
        <v>97.54</v>
      </c>
      <c r="AS22" s="2" vm="490">
        <f ca="1"/>
        <v>97.59</v>
      </c>
      <c r="AT22" s="2" vm="491">
        <f ca="1"/>
        <v>97.82</v>
      </c>
      <c r="AU22" s="2" vm="492">
        <f ca="1"/>
        <v>98.69</v>
      </c>
      <c r="AV22" s="2">
        <f ca="1">U22/U$4</f>
        <v>0.16492708564660596</v>
      </c>
      <c r="AW22" s="2">
        <f ca="1">V22/V$4</f>
        <v>0.16496769824856794</v>
      </c>
      <c r="AX22" s="2">
        <f ca="1">W22/W$4</f>
        <v>0.16567357276918313</v>
      </c>
      <c r="AY22" s="2">
        <f ca="1">X22/X$4</f>
        <v>0.16758053461274847</v>
      </c>
      <c r="AZ22" s="2">
        <f ca="1">Y22/Y$4</f>
        <v>0.16811246847555847</v>
      </c>
      <c r="BA22" s="2">
        <f ca="1">Z22/Z$4</f>
        <v>0.16800412804042633</v>
      </c>
      <c r="BB22" s="2">
        <f ca="1">AA22/AA$4</f>
        <v>0.16718783313197355</v>
      </c>
      <c r="BC22" s="2">
        <f ca="1">AB22/AB$4</f>
        <v>0.16729713889924874</v>
      </c>
      <c r="BD22" s="2">
        <f ca="1">AC22/AC$4</f>
        <v>0.16720698254364091</v>
      </c>
      <c r="BE22" s="2">
        <f ca="1">AD22/AD$4</f>
        <v>0.16832463483834809</v>
      </c>
      <c r="BF22" s="2">
        <f ca="1">AE22/AE$4</f>
        <v>0.16874615046194458</v>
      </c>
      <c r="BG22" s="2">
        <f ca="1">AF22/AF$4</f>
        <v>0.16865904822089983</v>
      </c>
      <c r="BH22" s="2">
        <f ca="1">AG22/AG$4</f>
        <v>0.16891300542622092</v>
      </c>
      <c r="BI22" s="2">
        <f ca="1">AH22/AH$4</f>
        <v>0.16953196266928638</v>
      </c>
      <c r="BJ22" s="2">
        <f ca="1">AI22/AI$4</f>
        <v>0.16887995806395251</v>
      </c>
      <c r="BK22" s="2">
        <f ca="1">AJ22/AJ$4</f>
        <v>0.16821530439043167</v>
      </c>
      <c r="BL22" s="2">
        <f ca="1">AK22/AK$4</f>
        <v>0.16822364751812605</v>
      </c>
      <c r="BM22" s="2">
        <f ca="1">AL22/AL$4</f>
        <v>0.16754598853364286</v>
      </c>
      <c r="BN22" s="2">
        <f ca="1">AM22/AM$4</f>
        <v>0.16766867067468269</v>
      </c>
      <c r="BO22" s="2">
        <f ca="1">AN22/AN$4</f>
        <v>0.16799337818322707</v>
      </c>
      <c r="BP22" s="2">
        <f ca="1">AO22/AO$4</f>
        <v>0.16831303012321547</v>
      </c>
      <c r="BQ22" s="2">
        <f ca="1">AP22/AP$4</f>
        <v>0.16803451919690032</v>
      </c>
      <c r="BR22" s="2">
        <f ca="1">AQ22/AQ$4</f>
        <v>0.16914702444300994</v>
      </c>
      <c r="BS22" s="2">
        <f ca="1">AR22/AR$4</f>
        <v>0.16900578715736217</v>
      </c>
      <c r="BT22" s="2">
        <f ca="1">AS22/AS$4</f>
        <v>0.16938885321021299</v>
      </c>
      <c r="BU22" s="2"/>
      <c r="BV22" s="2">
        <f ca="1">EOMONTH(TODAY(), -1)</f>
        <v>45565</v>
      </c>
      <c r="BW22" s="2" cm="1" vm="482">
        <f t="array" aca="1" ref="BW22" ca="1">_xlfn.STOCKHISTORY(P22,BV22, BV22, 0, 0, 1)</f>
        <v>96.52</v>
      </c>
      <c r="BX22" s="7">
        <f ca="1">IF(BW22&lt;&gt;0, (AU22 -BW22) / BW22, "N/A")</f>
        <v>2.2482387070037316E-2</v>
      </c>
      <c r="BY22" s="7"/>
      <c r="BZ22" s="7"/>
      <c r="CA22" s="8">
        <f ca="1">TODAY() - WEEKDAY(TODAY(), 2) + 1</f>
        <v>45579</v>
      </c>
      <c r="CB22" s="7" cm="1" vm="492">
        <f t="array" aca="1" ref="CB22" ca="1">IFERROR(_xlfn.STOCKHISTORY(P22, WORKDAY(CA22, 0), WORKDAY(CA22, 0), 0, 0, 1), "N/A")</f>
        <v>98.69</v>
      </c>
      <c r="CC22" s="9">
        <f ca="1">IF(CB22&lt;&gt;0, (AU22 - CB22) / CB22, "N/A")</f>
        <v>0</v>
      </c>
      <c r="CD22" s="10">
        <f ca="1">TODAY() - WEEKDAY(TODAY(), 2) - 2</f>
        <v>45576</v>
      </c>
      <c r="CE22" s="11" cm="1" vm="491">
        <f t="array" aca="1" ref="CE22" ca="1">IFERROR(_xlfn.STOCKHISTORY(P22, WORKDAY(CD22, 0), WORKDAY(CD22, 0), 0, 0, 1), "N/A")</f>
        <v>97.82</v>
      </c>
      <c r="CF22" s="12">
        <f ca="1">IF(CE22&lt;&gt;0, (AU22 - CE22) / CE22, "N/A")</f>
        <v>8.8938867307299593E-3</v>
      </c>
      <c r="CG22" s="7"/>
      <c r="CH22" s="2"/>
    </row>
    <row r="23" spans="1:116" x14ac:dyDescent="0.4">
      <c r="B23" s="6" t="str">
        <f ca="1">P23 &amp; " - " &amp; S23</f>
        <v>SPYG - SPDR Ptf S&amp;P 500 Growth</v>
      </c>
      <c r="C23" s="6"/>
      <c r="D23" s="6" cm="1">
        <f t="array" aca="1" ref="D23" ca="1">_FV(O23,"Änderung (%)",TRUE)</f>
        <v>9.6540000000000011E-3</v>
      </c>
      <c r="E23" s="6">
        <f ca="1">_xlfn.RANK.EQ(D23, D:D, 1) / COUNT(D:D)</f>
        <v>0.8545454545454545</v>
      </c>
      <c r="F23" s="6">
        <f ca="1">PERCENTRANK(AV23:BT23,BT23)</f>
        <v>1</v>
      </c>
      <c r="G23" s="6">
        <f ca="1">IF(CE23&lt;&gt;0, (AU23 - CE23) / CE23, "N/A")</f>
        <v>9.6543504171631468E-3</v>
      </c>
      <c r="H23" s="6">
        <f ca="1">(AU23/AP23-1)</f>
        <v>3.3426863486641478E-2</v>
      </c>
      <c r="I23" s="6">
        <f ca="1">IF(BW23&lt;&gt;0, (AU23 -BW23) / BW23, "N/A")</f>
        <v>2.1340728237279914E-2</v>
      </c>
      <c r="J23" s="6">
        <f ca="1">_xlfn.RANK.EQ(I23, I:I, 1) / COUNT(I:I)</f>
        <v>0.54545454545454541</v>
      </c>
      <c r="K23" s="6">
        <f ca="1">IFERROR((AU23/X23-1), "Error")</f>
        <v>6.4998742770932649E-2</v>
      </c>
      <c r="L23" s="6">
        <f ca="1">_xlfn.RANK.EQ(K23, K:K, 1) / COUNT(K:K)</f>
        <v>0.4</v>
      </c>
      <c r="M23" s="6"/>
      <c r="N23" s="6">
        <f ca="1">IF(BW23&lt;&gt;0, (AU23 -BW23) / BW23, "N/A")</f>
        <v>2.1340728237279914E-2</v>
      </c>
      <c r="O23" s="2" t="e" vm="493">
        <v>#VALUE!</v>
      </c>
      <c r="P23" s="14" t="s">
        <v>48</v>
      </c>
      <c r="Q23" s="2" t="str">
        <f>P23 &amp; ""</f>
        <v>SPYG</v>
      </c>
      <c r="R23" s="14" t="s">
        <v>71</v>
      </c>
      <c r="S23" s="2" t="str" cm="1">
        <f t="array" aca="1" ref="S23" ca="1">_FV(O23,"Name")</f>
        <v>SPDR Ptf S&amp;P 500 Growth</v>
      </c>
      <c r="T23" s="2" t="str" cm="1">
        <f t="array" aca="1" ref="T23" ca="1">_FV(O23,"Name")</f>
        <v>SPDR Ptf S&amp;P 500 Growth</v>
      </c>
      <c r="U23" s="2" cm="1" vm="494">
        <f t="array" aca="1" ref="U23:AU23" ca="1">TRANSPOSE(_xlfn.STOCKHISTORY(P23, WORKDAY(TODAY(), -27), TODAY(), 0, 0, 1))</f>
        <v>76.41</v>
      </c>
      <c r="V23" s="2" vm="495">
        <f ca="1"/>
        <v>77.27</v>
      </c>
      <c r="W23" s="2" vm="496">
        <f ca="1"/>
        <v>77.97</v>
      </c>
      <c r="X23" s="2" vm="497">
        <f ca="1"/>
        <v>79.540000000000006</v>
      </c>
      <c r="Y23" s="2" vm="498">
        <f ca="1"/>
        <v>80.459999999999994</v>
      </c>
      <c r="Z23" s="2" vm="499">
        <f ca="1"/>
        <v>80.86</v>
      </c>
      <c r="AA23" s="2" vm="500">
        <f ca="1"/>
        <v>80.61</v>
      </c>
      <c r="AB23" s="2" vm="501">
        <f ca="1"/>
        <v>80.650000000000006</v>
      </c>
      <c r="AC23" s="2" vm="502">
        <f ca="1"/>
        <v>80.36</v>
      </c>
      <c r="AD23" s="2" vm="503">
        <f ca="1"/>
        <v>82.35</v>
      </c>
      <c r="AE23" s="2" vm="504">
        <f ca="1"/>
        <v>82.19</v>
      </c>
      <c r="AF23" s="2" vm="505">
        <f ca="1"/>
        <v>82.2</v>
      </c>
      <c r="AG23" s="2" vm="506">
        <f ca="1"/>
        <v>82.6</v>
      </c>
      <c r="AH23" s="2" vm="507">
        <f ca="1"/>
        <v>82.72</v>
      </c>
      <c r="AI23" s="2" vm="508">
        <f ca="1"/>
        <v>82.93</v>
      </c>
      <c r="AJ23" s="2" vm="509">
        <f ca="1"/>
        <v>82.49</v>
      </c>
      <c r="AK23" s="2" vm="510">
        <f ca="1"/>
        <v>82.94</v>
      </c>
      <c r="AL23" s="2" vm="511">
        <f ca="1"/>
        <v>81.739999999999995</v>
      </c>
      <c r="AM23" s="2" vm="512">
        <f ca="1"/>
        <v>81.86</v>
      </c>
      <c r="AN23" s="2" vm="513">
        <f ca="1"/>
        <v>81.92</v>
      </c>
      <c r="AO23" s="2" vm="514">
        <f ca="1"/>
        <v>82.84</v>
      </c>
      <c r="AP23" s="2" vm="515">
        <f ca="1"/>
        <v>81.97</v>
      </c>
      <c r="AQ23" s="2" vm="516">
        <f ca="1"/>
        <v>83.21</v>
      </c>
      <c r="AR23" s="2" vm="517">
        <f ca="1"/>
        <v>83.79</v>
      </c>
      <c r="AS23" s="2" vm="518">
        <f ca="1"/>
        <v>83.72</v>
      </c>
      <c r="AT23" s="2" vm="519">
        <f ca="1"/>
        <v>83.9</v>
      </c>
      <c r="AU23" s="2" vm="520">
        <f ca="1"/>
        <v>84.71</v>
      </c>
      <c r="AV23" s="2">
        <f ca="1">U23/U$4</f>
        <v>0.14140572951365754</v>
      </c>
      <c r="AW23" s="2">
        <f ca="1">V23/V$4</f>
        <v>0.14141395655277172</v>
      </c>
      <c r="AX23" s="2">
        <f ca="1">W23/W$4</f>
        <v>0.14207620401246379</v>
      </c>
      <c r="AY23" s="2">
        <f ca="1">X23/X$4</f>
        <v>0.14346524295660332</v>
      </c>
      <c r="AZ23" s="2">
        <f ca="1">Y23/Y$4</f>
        <v>0.14391242912590099</v>
      </c>
      <c r="BA23" s="2">
        <f ca="1">Z23/Z$4</f>
        <v>0.14387644347965339</v>
      </c>
      <c r="BB23" s="2">
        <f ca="1">AA23/AA$4</f>
        <v>0.143220098074053</v>
      </c>
      <c r="BC23" s="2">
        <f ca="1">AB23/AB$4</f>
        <v>0.14323263537393219</v>
      </c>
      <c r="BD23" s="2">
        <f ca="1">AC23/AC$4</f>
        <v>0.143142144638404</v>
      </c>
      <c r="BE23" s="2">
        <f ca="1">AD23/AD$4</f>
        <v>0.14422571718799257</v>
      </c>
      <c r="BF23" s="2">
        <f ca="1">AE23/AE$4</f>
        <v>0.14463704355477341</v>
      </c>
      <c r="BG23" s="2">
        <f ca="1">AF23/AF$4</f>
        <v>0.14429406498499134</v>
      </c>
      <c r="BH23" s="2">
        <f ca="1">AG23/AG$4</f>
        <v>0.14458253106949065</v>
      </c>
      <c r="BI23" s="2">
        <f ca="1">AH23/AH$4</f>
        <v>0.14511262367553154</v>
      </c>
      <c r="BJ23" s="2">
        <f ca="1">AI23/AI$4</f>
        <v>0.14490651756071993</v>
      </c>
      <c r="BK23" s="2">
        <f ca="1">AJ23/AJ$4</f>
        <v>0.14434703483997408</v>
      </c>
      <c r="BL23" s="2">
        <f ca="1">AK23/AK$4</f>
        <v>0.14455521472392638</v>
      </c>
      <c r="BM23" s="2">
        <f ca="1">AL23/AL$4</f>
        <v>0.14375153881326719</v>
      </c>
      <c r="BN23" s="2">
        <f ca="1">AM23/AM$4</f>
        <v>0.14390183876524978</v>
      </c>
      <c r="BO23" s="2">
        <f ca="1">AN23/AN$4</f>
        <v>0.14427107181853402</v>
      </c>
      <c r="BP23" s="2">
        <f ca="1">AO23/AO$4</f>
        <v>0.14457747216307726</v>
      </c>
      <c r="BQ23" s="2">
        <f ca="1">AP23/AP$4</f>
        <v>0.14436421275096867</v>
      </c>
      <c r="BR23" s="2">
        <f ca="1">AQ23/AQ$4</f>
        <v>0.14517507894690929</v>
      </c>
      <c r="BS23" s="2">
        <f ca="1">AR23/AR$4</f>
        <v>0.1451814117891673</v>
      </c>
      <c r="BT23" s="2">
        <f ca="1">AS23/AS$4</f>
        <v>0.14531442556367485</v>
      </c>
      <c r="BU23" s="2"/>
      <c r="BV23" s="2">
        <f ca="1">EOMONTH(TODAY(), -1)</f>
        <v>45565</v>
      </c>
      <c r="BW23" s="2" cm="1" vm="510">
        <f t="array" aca="1" ref="BW23" ca="1">_xlfn.STOCKHISTORY(P23,BV23, BV23, 0, 0, 1)</f>
        <v>82.94</v>
      </c>
      <c r="BX23" s="7">
        <f ca="1">IF(BW23&lt;&gt;0, (AU23 -BW23) / BW23, "N/A")</f>
        <v>2.1340728237279914E-2</v>
      </c>
      <c r="BY23" s="7"/>
      <c r="BZ23" s="7"/>
      <c r="CA23" s="8">
        <f ca="1">TODAY() - WEEKDAY(TODAY(), 2) + 1</f>
        <v>45579</v>
      </c>
      <c r="CB23" s="7" cm="1" vm="520">
        <f t="array" aca="1" ref="CB23" ca="1">IFERROR(_xlfn.STOCKHISTORY(P23, WORKDAY(CA23, 0), WORKDAY(CA23, 0), 0, 0, 1), "N/A")</f>
        <v>84.71</v>
      </c>
      <c r="CC23" s="9">
        <f ca="1">IF(CB23&lt;&gt;0, (AU23 - CB23) / CB23, "N/A")</f>
        <v>0</v>
      </c>
      <c r="CD23" s="10">
        <f ca="1">TODAY() - WEEKDAY(TODAY(), 2) - 2</f>
        <v>45576</v>
      </c>
      <c r="CE23" s="11" cm="1" vm="519">
        <f t="array" aca="1" ref="CE23" ca="1">IFERROR(_xlfn.STOCKHISTORY(P23, WORKDAY(CD23, 0), WORKDAY(CD23, 0), 0, 0, 1), "N/A")</f>
        <v>83.9</v>
      </c>
      <c r="CF23" s="12">
        <f ca="1">IF(CE23&lt;&gt;0, (AU23 - CE23) / CE23, "N/A")</f>
        <v>9.6543504171631468E-3</v>
      </c>
      <c r="CG23" s="7"/>
      <c r="CH23" s="2"/>
    </row>
    <row r="24" spans="1:116" x14ac:dyDescent="0.4">
      <c r="B24" s="6" t="str">
        <f ca="1">P24 &amp; " - " &amp; S24</f>
        <v>IVW - iShares:S&amp;P 500 Gro</v>
      </c>
      <c r="C24" s="6"/>
      <c r="D24" s="6" cm="1">
        <f t="array" aca="1" ref="D24" ca="1">_FV(O24,"Änderung (%)",TRUE)</f>
        <v>9.2879999999999994E-3</v>
      </c>
      <c r="E24" s="6">
        <f ca="1">_xlfn.RANK.EQ(D24, D:D, 1) / COUNT(D:D)</f>
        <v>0.83636363636363631</v>
      </c>
      <c r="F24" s="6">
        <f ca="1">PERCENTRANK(AV24:BT24,BT24)</f>
        <v>1</v>
      </c>
      <c r="G24" s="6">
        <f ca="1">IF(CE24&lt;&gt;0, (AU24 - CE24) / CE24, "N/A")</f>
        <v>9.2879256965943385E-3</v>
      </c>
      <c r="H24" s="6">
        <f ca="1">(AU24/AP24-1)</f>
        <v>3.3389687235841015E-2</v>
      </c>
      <c r="I24" s="6">
        <f ca="1">IF(BW24&lt;&gt;0, (AU24 -BW24) / BW24, "N/A")</f>
        <v>2.1409921671018246E-2</v>
      </c>
      <c r="J24" s="6">
        <f ca="1">_xlfn.RANK.EQ(I24, I:I, 1) / COUNT(I:I)</f>
        <v>0.5636363636363636</v>
      </c>
      <c r="K24" s="6">
        <f ca="1">IFERROR((AU24/X24-1), "Error")</f>
        <v>6.4431867653460984E-2</v>
      </c>
      <c r="L24" s="6">
        <f ca="1">_xlfn.RANK.EQ(K24, K:K, 1) / COUNT(K:K)</f>
        <v>0.36363636363636365</v>
      </c>
      <c r="M24" s="6"/>
      <c r="N24" s="6">
        <f ca="1">IF(BW24&lt;&gt;0, (AU24 -BW24) / BW24, "N/A")</f>
        <v>2.1409921671018246E-2</v>
      </c>
      <c r="O24" s="2" t="e" vm="521">
        <v>#VALUE!</v>
      </c>
      <c r="P24" s="14" t="s">
        <v>45</v>
      </c>
      <c r="Q24" s="2" t="str">
        <f>P24 &amp; ""</f>
        <v>IVW</v>
      </c>
      <c r="R24" s="14" t="s">
        <v>71</v>
      </c>
      <c r="S24" s="2" t="str" cm="1">
        <f t="array" aca="1" ref="S24" ca="1">_FV(O24,"Name")</f>
        <v>iShares:S&amp;P 500 Gro</v>
      </c>
      <c r="T24" s="2" t="str" cm="1">
        <f t="array" aca="1" ref="T24" ca="1">_FV(O24,"Name")</f>
        <v>iShares:S&amp;P 500 Gro</v>
      </c>
      <c r="U24" s="2" cm="1" vm="522">
        <f t="array" aca="1" ref="U24:AU24" ca="1">TRANSPOSE(_xlfn.STOCKHISTORY(P24, WORKDAY(TODAY(), -27), TODAY(), 0, 0, 1))</f>
        <v>88.22</v>
      </c>
      <c r="V24" s="2" vm="523">
        <f ca="1"/>
        <v>89.25</v>
      </c>
      <c r="W24" s="2" vm="524">
        <f ca="1"/>
        <v>90.06</v>
      </c>
      <c r="X24" s="2" vm="525">
        <f ca="1"/>
        <v>91.88</v>
      </c>
      <c r="Y24" s="2" vm="526">
        <f ca="1"/>
        <v>92.92</v>
      </c>
      <c r="Z24" s="2" vm="527">
        <f ca="1"/>
        <v>93.4</v>
      </c>
      <c r="AA24" s="2" vm="528">
        <f ca="1"/>
        <v>93.11</v>
      </c>
      <c r="AB24" s="2" vm="529">
        <f ca="1"/>
        <v>93.14</v>
      </c>
      <c r="AC24" s="2" vm="530">
        <f ca="1"/>
        <v>92.82</v>
      </c>
      <c r="AD24" s="2" vm="531">
        <f ca="1"/>
        <v>95.11</v>
      </c>
      <c r="AE24" s="2" vm="532">
        <f ca="1"/>
        <v>94.9</v>
      </c>
      <c r="AF24" s="2" vm="533">
        <f ca="1"/>
        <v>95.08</v>
      </c>
      <c r="AG24" s="2" vm="534">
        <f ca="1"/>
        <v>95.53</v>
      </c>
      <c r="AH24" s="2" vm="534">
        <f ca="1"/>
        <v>95.53</v>
      </c>
      <c r="AI24" s="2" vm="535">
        <f ca="1"/>
        <v>95.82</v>
      </c>
      <c r="AJ24" s="2" vm="536">
        <f ca="1"/>
        <v>95.26</v>
      </c>
      <c r="AK24" s="2" vm="537">
        <f ca="1"/>
        <v>95.75</v>
      </c>
      <c r="AL24" s="2" vm="538">
        <f ca="1"/>
        <v>94.41</v>
      </c>
      <c r="AM24" s="2" vm="169">
        <f ca="1"/>
        <v>94.58</v>
      </c>
      <c r="AN24" s="2" vm="539">
        <f ca="1"/>
        <v>94.64</v>
      </c>
      <c r="AO24" s="2" vm="540">
        <f ca="1"/>
        <v>95.64</v>
      </c>
      <c r="AP24" s="2" vm="539">
        <f ca="1"/>
        <v>94.64</v>
      </c>
      <c r="AQ24" s="2" vm="541">
        <f ca="1"/>
        <v>96.14</v>
      </c>
      <c r="AR24" s="2" vm="542">
        <f ca="1"/>
        <v>96.74</v>
      </c>
      <c r="AS24" s="2" vm="543">
        <f ca="1"/>
        <v>96.69</v>
      </c>
      <c r="AT24" s="2" vm="544">
        <f ca="1"/>
        <v>96.9</v>
      </c>
      <c r="AU24" s="2" vm="545">
        <f ca="1"/>
        <v>97.8</v>
      </c>
      <c r="AV24" s="2">
        <f ca="1">U24/U$4</f>
        <v>0.16326152935080315</v>
      </c>
      <c r="AW24" s="2">
        <f ca="1">V24/V$4</f>
        <v>0.163338884720265</v>
      </c>
      <c r="AX24" s="2">
        <f ca="1">W24/W$4</f>
        <v>0.16410648882086046</v>
      </c>
      <c r="AY24" s="2">
        <f ca="1">X24/X$4</f>
        <v>0.1657227372749901</v>
      </c>
      <c r="AZ24" s="2">
        <f ca="1">Y24/Y$4</f>
        <v>0.16619864422543776</v>
      </c>
      <c r="BA24" s="2">
        <f ca="1">Z24/Z$4</f>
        <v>0.16618921371505846</v>
      </c>
      <c r="BB24" s="2">
        <f ca="1">AA24/AA$4</f>
        <v>0.16542889631156277</v>
      </c>
      <c r="BC24" s="2">
        <f ca="1">AB24/AB$4</f>
        <v>0.16541460209210221</v>
      </c>
      <c r="BD24" s="2">
        <f ca="1">AC24/AC$4</f>
        <v>0.16533665835411471</v>
      </c>
      <c r="BE24" s="2">
        <f ca="1">AD24/AD$4</f>
        <v>0.16657326000910713</v>
      </c>
      <c r="BF24" s="2">
        <f ca="1">AE24/AE$4</f>
        <v>0.16700395952485703</v>
      </c>
      <c r="BG24" s="2">
        <f ca="1">AF24/AF$4</f>
        <v>0.16690364597047413</v>
      </c>
      <c r="BH24" s="2">
        <f ca="1">AG24/AG$4</f>
        <v>0.16721512340276565</v>
      </c>
      <c r="BI24" s="2">
        <f ca="1">AH24/AH$4</f>
        <v>0.16758473089607748</v>
      </c>
      <c r="BJ24" s="2">
        <f ca="1">AI24/AI$4</f>
        <v>0.16742966975362572</v>
      </c>
      <c r="BK24" s="2">
        <f ca="1">AJ24/AJ$4</f>
        <v>0.16669291476367964</v>
      </c>
      <c r="BL24" s="2">
        <f ca="1">AK24/AK$4</f>
        <v>0.16688162297824874</v>
      </c>
      <c r="BM24" s="2">
        <f ca="1">AL24/AL$4</f>
        <v>0.16603355492244382</v>
      </c>
      <c r="BN24" s="2">
        <f ca="1">AM24/AM$4</f>
        <v>0.16626234925992334</v>
      </c>
      <c r="BO24" s="2">
        <f ca="1">AN24/AN$4</f>
        <v>0.16667253707160717</v>
      </c>
      <c r="BP24" s="2">
        <f ca="1">AO24/AO$4</f>
        <v>0.16691682083144263</v>
      </c>
      <c r="BQ24" s="2">
        <f ca="1">AP24/AP$4</f>
        <v>0.16667840789010216</v>
      </c>
      <c r="BR24" s="2">
        <f ca="1">AQ24/AQ$4</f>
        <v>0.16773383114957169</v>
      </c>
      <c r="BS24" s="2">
        <f ca="1">AR24/AR$4</f>
        <v>0.16761964168139445</v>
      </c>
      <c r="BT24" s="2">
        <f ca="1">AS24/AS$4</f>
        <v>0.16782670577820977</v>
      </c>
      <c r="BU24" s="2"/>
      <c r="BV24" s="2">
        <f ca="1">EOMONTH(TODAY(), -1)</f>
        <v>45565</v>
      </c>
      <c r="BW24" s="2" cm="1" vm="537">
        <f t="array" aca="1" ref="BW24" ca="1">_xlfn.STOCKHISTORY(P24,BV24, BV24, 0, 0, 1)</f>
        <v>95.75</v>
      </c>
      <c r="BX24" s="7">
        <f ca="1">IF(BW24&lt;&gt;0, (AU24 -BW24) / BW24, "N/A")</f>
        <v>2.1409921671018246E-2</v>
      </c>
      <c r="BY24" s="7"/>
      <c r="BZ24" s="7"/>
      <c r="CA24" s="8">
        <f ca="1">TODAY() - WEEKDAY(TODAY(), 2) + 1</f>
        <v>45579</v>
      </c>
      <c r="CB24" s="7" cm="1" vm="545">
        <f t="array" aca="1" ref="CB24" ca="1">IFERROR(_xlfn.STOCKHISTORY(P24, WORKDAY(CA24, 0), WORKDAY(CA24, 0), 0, 0, 1), "N/A")</f>
        <v>97.8</v>
      </c>
      <c r="CC24" s="9">
        <f ca="1">IF(CB24&lt;&gt;0, (AU24 - CB24) / CB24, "N/A")</f>
        <v>0</v>
      </c>
      <c r="CD24" s="10">
        <f ca="1">TODAY() - WEEKDAY(TODAY(), 2) - 2</f>
        <v>45576</v>
      </c>
      <c r="CE24" s="11" cm="1" vm="544">
        <f t="array" aca="1" ref="CE24" ca="1">IFERROR(_xlfn.STOCKHISTORY(P24, WORKDAY(CD24, 0), WORKDAY(CD24, 0), 0, 0, 1), "N/A")</f>
        <v>96.9</v>
      </c>
      <c r="CF24" s="12">
        <f ca="1">IF(CE24&lt;&gt;0, (AU24 - CE24) / CE24, "N/A")</f>
        <v>9.2879256965943385E-3</v>
      </c>
      <c r="CG24" s="7"/>
      <c r="CH24" s="2"/>
    </row>
    <row r="25" spans="1:116" x14ac:dyDescent="0.4">
      <c r="B25" s="6" t="str">
        <f ca="1">P25 &amp; " - " &amp; S25</f>
        <v>MTUM - iShares:MSCI USA Mom Fct</v>
      </c>
      <c r="C25" s="6"/>
      <c r="D25" s="6" cm="1">
        <f t="array" aca="1" ref="D25" ca="1">_FV(O25,"Änderung (%)",TRUE)</f>
        <v>7.5709999999999996E-3</v>
      </c>
      <c r="E25" s="6">
        <f ca="1">_xlfn.RANK.EQ(D25, D:D, 1) / COUNT(D:D)</f>
        <v>0.65454545454545454</v>
      </c>
      <c r="F25" s="6">
        <f ca="1">PERCENTRANK(AV25:BT25,BT25)</f>
        <v>0.83299999999999996</v>
      </c>
      <c r="G25" s="6">
        <f ca="1">IF(CE25&lt;&gt;0, (AU25 - CE25) / CE25, "N/A")</f>
        <v>7.7160493827160212E-3</v>
      </c>
      <c r="H25" s="6">
        <f ca="1">(AU25/AP25-1)</f>
        <v>3.2921403855660003E-2</v>
      </c>
      <c r="I25" s="6">
        <f ca="1">IF(BW25&lt;&gt;0, (AU25 -BW25) / BW25, "N/A")</f>
        <v>3.0578023278753291E-2</v>
      </c>
      <c r="J25" s="6">
        <f ca="1">_xlfn.RANK.EQ(I25, I:I, 1) / COUNT(I:I)</f>
        <v>0.65454545454545454</v>
      </c>
      <c r="K25" s="6">
        <f ca="1">IFERROR((AU25/X25-1), "Error")</f>
        <v>8.4886558330304673E-2</v>
      </c>
      <c r="L25" s="6">
        <f ca="1">_xlfn.RANK.EQ(K25, K:K, 1) / COUNT(K:K)</f>
        <v>0.50909090909090904</v>
      </c>
      <c r="M25" s="6"/>
      <c r="N25" s="6">
        <f ca="1">IF(BW25&lt;&gt;0, (AU25 -BW25) / BW25, "N/A")</f>
        <v>3.0578023278753291E-2</v>
      </c>
      <c r="O25" s="2" t="e" vm="546">
        <v>#VALUE!</v>
      </c>
      <c r="P25" s="14" t="s">
        <v>42</v>
      </c>
      <c r="Q25" s="2" t="str">
        <f>P25 &amp; ""</f>
        <v>MTUM</v>
      </c>
      <c r="R25" s="14" t="s">
        <v>71</v>
      </c>
      <c r="S25" s="2" t="str" cm="1">
        <f t="array" aca="1" ref="S25" ca="1">_FV(O25,"Name")</f>
        <v>iShares:MSCI USA Mom Fct</v>
      </c>
      <c r="T25" s="2" t="str" cm="1">
        <f t="array" aca="1" ref="T25" ca="1">_FV(O25,"Name")</f>
        <v>iShares:MSCI USA Mom Fct</v>
      </c>
      <c r="U25" s="2" cm="1" vm="547">
        <f t="array" aca="1" ref="U25:AU25" ca="1">TRANSPOSE(_xlfn.STOCKHISTORY(P25, WORKDAY(TODAY(), -27), TODAY(), 0, 0, 1))</f>
        <v>186.03</v>
      </c>
      <c r="V25" s="2" vm="548">
        <f ca="1"/>
        <v>189.2</v>
      </c>
      <c r="W25" s="2" vm="549">
        <f ca="1"/>
        <v>189.58</v>
      </c>
      <c r="X25" s="2" vm="550">
        <f ca="1"/>
        <v>192.61</v>
      </c>
      <c r="Y25" s="2" vm="551">
        <f ca="1"/>
        <v>195.16</v>
      </c>
      <c r="Z25" s="2" vm="552">
        <f ca="1"/>
        <v>196.76</v>
      </c>
      <c r="AA25" s="2" vm="553">
        <f ca="1"/>
        <v>197.3</v>
      </c>
      <c r="AB25" s="2" vm="554">
        <f ca="1"/>
        <v>197.18</v>
      </c>
      <c r="AC25" s="2" vm="555">
        <f ca="1"/>
        <v>196.56</v>
      </c>
      <c r="AD25" s="2" vm="556">
        <f ca="1"/>
        <v>200.38</v>
      </c>
      <c r="AE25" s="2" vm="557">
        <f ca="1"/>
        <v>201.57</v>
      </c>
      <c r="AF25" s="2" vm="558">
        <f ca="1"/>
        <v>202.7</v>
      </c>
      <c r="AG25" s="2" vm="559">
        <f ca="1"/>
        <v>203</v>
      </c>
      <c r="AH25" s="2" vm="560">
        <f ca="1"/>
        <v>202.95</v>
      </c>
      <c r="AI25" s="2" vm="561">
        <f ca="1"/>
        <v>203.3</v>
      </c>
      <c r="AJ25" s="2" vm="562">
        <f ca="1"/>
        <v>201.935</v>
      </c>
      <c r="AK25" s="2" vm="563">
        <f ca="1"/>
        <v>202.76</v>
      </c>
      <c r="AL25" s="2" vm="564">
        <f ca="1"/>
        <v>201.63</v>
      </c>
      <c r="AM25" s="2" vm="565">
        <f ca="1"/>
        <v>202.22</v>
      </c>
      <c r="AN25" s="2" vm="566">
        <f ca="1"/>
        <v>201.8</v>
      </c>
      <c r="AO25" s="2" vm="567">
        <f ca="1"/>
        <v>203.76</v>
      </c>
      <c r="AP25" s="2" vm="568">
        <f ca="1"/>
        <v>202.3</v>
      </c>
      <c r="AQ25" s="2" vm="569">
        <f ca="1"/>
        <v>204.31</v>
      </c>
      <c r="AR25" s="2" vm="570">
        <f ca="1"/>
        <v>205.95</v>
      </c>
      <c r="AS25" s="2" vm="571">
        <f ca="1"/>
        <v>205</v>
      </c>
      <c r="AT25" s="2" vm="572">
        <f ca="1"/>
        <v>207.36</v>
      </c>
      <c r="AU25" s="2" vm="573">
        <f ca="1"/>
        <v>208.96</v>
      </c>
      <c r="AV25" s="2">
        <f ca="1">U25/U$4</f>
        <v>0.34427048634243834</v>
      </c>
      <c r="AW25" s="2">
        <f ca="1">V25/V$4</f>
        <v>0.34626013433136288</v>
      </c>
      <c r="AX25" s="2">
        <f ca="1">W25/W$4</f>
        <v>0.34545090107327031</v>
      </c>
      <c r="AY25" s="2">
        <f ca="1">X25/X$4</f>
        <v>0.34740810216081675</v>
      </c>
      <c r="AZ25" s="2">
        <f ca="1">Y25/Y$4</f>
        <v>0.34906723425566544</v>
      </c>
      <c r="BA25" s="2">
        <f ca="1">Z25/Z$4</f>
        <v>0.35010053201900321</v>
      </c>
      <c r="BB25" s="2">
        <f ca="1">AA25/AA$4</f>
        <v>0.35054367138085424</v>
      </c>
      <c r="BC25" s="2">
        <f ca="1">AB25/AB$4</f>
        <v>0.35018736569165465</v>
      </c>
      <c r="BD25" s="2">
        <f ca="1">AC25/AC$4</f>
        <v>0.35012468827930177</v>
      </c>
      <c r="BE25" s="2">
        <f ca="1">AD25/AD$4</f>
        <v>0.35094048828330238</v>
      </c>
      <c r="BF25" s="2">
        <f ca="1">AE25/AE$4</f>
        <v>0.35472063352397709</v>
      </c>
      <c r="BG25" s="2">
        <f ca="1">AF25/AF$4</f>
        <v>0.35582003616128638</v>
      </c>
      <c r="BH25" s="2">
        <f ca="1">AG25/AG$4</f>
        <v>0.35532994923857869</v>
      </c>
      <c r="BI25" s="2">
        <f ca="1">AH25/AH$4</f>
        <v>0.35602764718265384</v>
      </c>
      <c r="BJ25" s="2">
        <f ca="1">AI25/AI$4</f>
        <v>0.35523326926437188</v>
      </c>
      <c r="BK25" s="2">
        <f ca="1">AJ25/AJ$4</f>
        <v>0.3533606313542268</v>
      </c>
      <c r="BL25" s="2">
        <f ca="1">AK25/AK$4</f>
        <v>0.35338817624093699</v>
      </c>
      <c r="BM25" s="2">
        <f ca="1">AL25/AL$4</f>
        <v>0.35459533607681754</v>
      </c>
      <c r="BN25" s="2">
        <f ca="1">AM25/AM$4</f>
        <v>0.35548289561579299</v>
      </c>
      <c r="BO25" s="2">
        <f ca="1">AN25/AN$4</f>
        <v>0.35539431509985558</v>
      </c>
      <c r="BP25" s="2">
        <f ca="1">AO25/AO$4</f>
        <v>0.35561450661454147</v>
      </c>
      <c r="BQ25" s="2">
        <f ca="1">AP25/AP$4</f>
        <v>0.35628742514970063</v>
      </c>
      <c r="BR25" s="2">
        <f ca="1">AQ25/AQ$4</f>
        <v>0.35645619973131881</v>
      </c>
      <c r="BS25" s="2">
        <f ca="1">AR25/AR$4</f>
        <v>0.35684582596943548</v>
      </c>
      <c r="BT25" s="2">
        <f ca="1">AS25/AS$4</f>
        <v>0.35582247062294969</v>
      </c>
      <c r="BU25" s="2"/>
      <c r="BV25" s="2">
        <f ca="1">EOMONTH(TODAY(), -1)</f>
        <v>45565</v>
      </c>
      <c r="BW25" s="2" cm="1" vm="563">
        <f t="array" aca="1" ref="BW25" ca="1">_xlfn.STOCKHISTORY(P25,BV25, BV25, 0, 0, 1)</f>
        <v>202.76</v>
      </c>
      <c r="BX25" s="7">
        <f ca="1">IF(BW25&lt;&gt;0, (AU25 -BW25) / BW25, "N/A")</f>
        <v>3.0578023278753291E-2</v>
      </c>
      <c r="BY25" s="7"/>
      <c r="BZ25" s="7"/>
      <c r="CA25" s="8">
        <f ca="1">TODAY() - WEEKDAY(TODAY(), 2) + 1</f>
        <v>45579</v>
      </c>
      <c r="CB25" s="7" cm="1" vm="573">
        <f t="array" aca="1" ref="CB25" ca="1">IFERROR(_xlfn.STOCKHISTORY(P25, WORKDAY(CA25, 0), WORKDAY(CA25, 0), 0, 0, 1), "N/A")</f>
        <v>208.96</v>
      </c>
      <c r="CC25" s="9">
        <f ca="1">IF(CB25&lt;&gt;0, (AU25 - CB25) / CB25, "N/A")</f>
        <v>0</v>
      </c>
      <c r="CD25" s="10">
        <f ca="1">TODAY() - WEEKDAY(TODAY(), 2) - 2</f>
        <v>45576</v>
      </c>
      <c r="CE25" s="11" cm="1" vm="572">
        <f t="array" aca="1" ref="CE25" ca="1">IFERROR(_xlfn.STOCKHISTORY(P25, WORKDAY(CD25, 0), WORKDAY(CD25, 0), 0, 0, 1), "N/A")</f>
        <v>207.36</v>
      </c>
      <c r="CF25" s="12">
        <f ca="1">IF(CE25&lt;&gt;0, (AU25 - CE25) / CE25, "N/A")</f>
        <v>7.7160493827160212E-3</v>
      </c>
      <c r="CG25" s="7"/>
      <c r="CH25" s="2"/>
    </row>
    <row r="26" spans="1:116" x14ac:dyDescent="0.4">
      <c r="B26" s="6" t="str">
        <f ca="1">P26 &amp; " - " &amp; S26</f>
        <v>VOOG - Vanguard S&amp;P 500G;ETF</v>
      </c>
      <c r="C26" s="6"/>
      <c r="D26" s="6" cm="1">
        <f t="array" aca="1" ref="D26" ca="1">_FV(O26,"Änderung (%)",TRUE)</f>
        <v>8.8120000000000004E-3</v>
      </c>
      <c r="E26" s="6">
        <f ca="1">_xlfn.RANK.EQ(D26, D:D, 1) / COUNT(D:D)</f>
        <v>0.8</v>
      </c>
      <c r="F26" s="6">
        <f ca="1">PERCENTRANK(AV26:BT26,BT26)</f>
        <v>1</v>
      </c>
      <c r="G26" s="6">
        <f ca="1">IF(CE26&lt;&gt;0, (AU26 - CE26) / CE26, "N/A")</f>
        <v>8.8118330329300526E-3</v>
      </c>
      <c r="H26" s="6">
        <f ca="1">(AU26/AP26-1)</f>
        <v>3.2140034540292239E-2</v>
      </c>
      <c r="I26" s="6">
        <f ca="1">IF(BW26&lt;&gt;0, (AU26 -BW26) / BW26, "N/A")</f>
        <v>2.119957137478639E-2</v>
      </c>
      <c r="J26" s="6">
        <f ca="1">_xlfn.RANK.EQ(I26, I:I, 1) / COUNT(I:I)</f>
        <v>0.52727272727272723</v>
      </c>
      <c r="K26" s="6">
        <f ca="1">IFERROR((AU26/X26-1), "Error")</f>
        <v>6.4129647513278654E-2</v>
      </c>
      <c r="L26" s="6">
        <f ca="1">_xlfn.RANK.EQ(K26, K:K, 1) / COUNT(K:K)</f>
        <v>0.34545454545454546</v>
      </c>
      <c r="M26" s="6"/>
      <c r="N26" s="6">
        <f ca="1">IF(BW26&lt;&gt;0, (AU26 -BW26) / BW26, "N/A")</f>
        <v>2.119957137478639E-2</v>
      </c>
      <c r="O26" s="2" t="e" vm="574">
        <v>#VALUE!</v>
      </c>
      <c r="P26" s="14" t="s">
        <v>44</v>
      </c>
      <c r="Q26" s="2" t="str">
        <f>P26 &amp; ""</f>
        <v>VOOG</v>
      </c>
      <c r="R26" s="14" t="s">
        <v>71</v>
      </c>
      <c r="S26" s="2" t="str" cm="1">
        <f t="array" aca="1" ref="S26" ca="1">_FV(O26,"Name")</f>
        <v>Vanguard S&amp;P 500G;ETF</v>
      </c>
      <c r="T26" s="2" t="str" cm="1">
        <f t="array" aca="1" ref="T26" ca="1">_FV(O26,"Name")</f>
        <v>Vanguard S&amp;P 500G;ETF</v>
      </c>
      <c r="U26" s="2" cm="1" vm="575">
        <f t="array" aca="1" ref="U26:AU26" ca="1">TRANSPOSE(_xlfn.STOCKHISTORY(P26, WORKDAY(TODAY(), -27), TODAY(), 0, 0, 1))</f>
        <v>318.02999999999997</v>
      </c>
      <c r="V26" s="2" vm="576">
        <f ca="1"/>
        <v>321.83</v>
      </c>
      <c r="W26" s="2" vm="577">
        <f ca="1"/>
        <v>324.60000000000002</v>
      </c>
      <c r="X26" s="2" vm="578">
        <f ca="1"/>
        <v>331.36</v>
      </c>
      <c r="Y26" s="2" vm="579">
        <f ca="1"/>
        <v>335.43</v>
      </c>
      <c r="Z26" s="2" vm="580">
        <f ca="1"/>
        <v>336.71</v>
      </c>
      <c r="AA26" s="2" vm="581">
        <f ca="1"/>
        <v>335.79</v>
      </c>
      <c r="AB26" s="2" vm="582">
        <f ca="1"/>
        <v>336.01</v>
      </c>
      <c r="AC26" s="2" vm="583">
        <f ca="1"/>
        <v>334.9</v>
      </c>
      <c r="AD26" s="2" vm="584">
        <f ca="1"/>
        <v>343.21</v>
      </c>
      <c r="AE26" s="2" vm="585">
        <f ca="1"/>
        <v>342.34</v>
      </c>
      <c r="AF26" s="2" vm="586">
        <f ca="1"/>
        <v>342.83</v>
      </c>
      <c r="AG26" s="2" vm="587">
        <f ca="1"/>
        <v>344.79</v>
      </c>
      <c r="AH26" s="2" vm="588">
        <f ca="1"/>
        <v>344.91</v>
      </c>
      <c r="AI26" s="2" vm="589">
        <f ca="1"/>
        <v>346.08</v>
      </c>
      <c r="AJ26" s="2" vm="590">
        <f ca="1"/>
        <v>343.73</v>
      </c>
      <c r="AK26" s="2" vm="591">
        <f ca="1"/>
        <v>345.29</v>
      </c>
      <c r="AL26" s="2" vm="592">
        <f ca="1"/>
        <v>340.59</v>
      </c>
      <c r="AM26" s="2" vm="593">
        <f ca="1"/>
        <v>341.05</v>
      </c>
      <c r="AN26" s="2" vm="594">
        <f ca="1"/>
        <v>341.3</v>
      </c>
      <c r="AO26" s="2" vm="595">
        <f ca="1"/>
        <v>344.86</v>
      </c>
      <c r="AP26" s="2" vm="596">
        <f ca="1"/>
        <v>341.63</v>
      </c>
      <c r="AQ26" s="2" vm="597">
        <f ca="1"/>
        <v>346.87</v>
      </c>
      <c r="AR26" s="2" vm="598">
        <f ca="1"/>
        <v>348.97</v>
      </c>
      <c r="AS26" s="2" vm="599">
        <f ca="1"/>
        <v>348.82</v>
      </c>
      <c r="AT26" s="2" vm="600">
        <f ca="1"/>
        <v>349.53</v>
      </c>
      <c r="AU26" s="2" vm="601">
        <f ca="1"/>
        <v>352.61</v>
      </c>
      <c r="AV26" s="2">
        <f ca="1">U26/U$4</f>
        <v>0.58855207639351537</v>
      </c>
      <c r="AW26" s="2">
        <f ca="1">V26/V$4</f>
        <v>0.58898995259969622</v>
      </c>
      <c r="AX26" s="2">
        <f ca="1">W26/W$4</f>
        <v>0.59148308095993007</v>
      </c>
      <c r="AY26" s="2">
        <f ca="1">X26/X$4</f>
        <v>0.59766963673749152</v>
      </c>
      <c r="AZ26" s="2">
        <f ca="1">Y26/Y$4</f>
        <v>0.59995707310093183</v>
      </c>
      <c r="BA26" s="2">
        <f ca="1">Z26/Z$4</f>
        <v>0.59911745342609557</v>
      </c>
      <c r="BB26" s="2">
        <f ca="1">AA26/AA$4</f>
        <v>0.59659938881387253</v>
      </c>
      <c r="BC26" s="2">
        <f ca="1">AB26/AB$4</f>
        <v>0.59674640808425228</v>
      </c>
      <c r="BD26" s="2">
        <f ca="1">AC26/AC$4</f>
        <v>0.59654435340220879</v>
      </c>
      <c r="BE26" s="2">
        <f ca="1">AD26/AD$4</f>
        <v>0.60108935514378781</v>
      </c>
      <c r="BF26" s="2">
        <f ca="1">AE26/AE$4</f>
        <v>0.60244610646722385</v>
      </c>
      <c r="BG26" s="2">
        <f ca="1">AF26/AF$4</f>
        <v>0.60180455351343765</v>
      </c>
      <c r="BH26" s="2">
        <f ca="1">AG26/AG$4</f>
        <v>0.60351829161561354</v>
      </c>
      <c r="BI26" s="2">
        <f ca="1">AH26/AH$4</f>
        <v>0.60506280261034318</v>
      </c>
      <c r="BJ26" s="2">
        <f ca="1">AI26/AI$4</f>
        <v>0.60471780534684605</v>
      </c>
      <c r="BK26" s="2">
        <f ca="1">AJ26/AJ$4</f>
        <v>0.60148389241779976</v>
      </c>
      <c r="BL26" s="2">
        <f ca="1">AK26/AK$4</f>
        <v>0.60180214723926384</v>
      </c>
      <c r="BM26" s="2">
        <f ca="1">AL26/AL$4</f>
        <v>0.59897646934683968</v>
      </c>
      <c r="BN26" s="2">
        <f ca="1">AM26/AM$4</f>
        <v>0.59953239812959247</v>
      </c>
      <c r="BO26" s="2">
        <f ca="1">AN26/AN$4</f>
        <v>0.60107076186115316</v>
      </c>
      <c r="BP26" s="2">
        <f ca="1">AO26/AO$4</f>
        <v>0.60187092045097557</v>
      </c>
      <c r="BQ26" s="2">
        <f ca="1">AP26/AP$4</f>
        <v>0.60167312433955622</v>
      </c>
      <c r="BR26" s="2">
        <f ca="1">AQ26/AQ$4</f>
        <v>0.60517821937645033</v>
      </c>
      <c r="BS26" s="2">
        <f ca="1">AR26/AR$4</f>
        <v>0.60465398343556165</v>
      </c>
      <c r="BT26" s="2">
        <f ca="1">AS26/AS$4</f>
        <v>0.60545363025706</v>
      </c>
      <c r="BU26" s="2"/>
      <c r="BV26" s="2">
        <f ca="1">EOMONTH(TODAY(), -1)</f>
        <v>45565</v>
      </c>
      <c r="BW26" s="2" cm="1" vm="591">
        <f t="array" aca="1" ref="BW26" ca="1">_xlfn.STOCKHISTORY(P26,BV26, BV26, 0, 0, 1)</f>
        <v>345.29</v>
      </c>
      <c r="BX26" s="7">
        <f ca="1">IF(BW26&lt;&gt;0, (AU26 -BW26) / BW26, "N/A")</f>
        <v>2.119957137478639E-2</v>
      </c>
      <c r="BY26" s="7"/>
      <c r="BZ26" s="7"/>
      <c r="CA26" s="8">
        <f ca="1">TODAY() - WEEKDAY(TODAY(), 2) + 1</f>
        <v>45579</v>
      </c>
      <c r="CB26" s="7" cm="1" vm="601">
        <f t="array" aca="1" ref="CB26" ca="1">IFERROR(_xlfn.STOCKHISTORY(P26, WORKDAY(CA26, 0), WORKDAY(CA26, 0), 0, 0, 1), "N/A")</f>
        <v>352.61</v>
      </c>
      <c r="CC26" s="9">
        <f ca="1">IF(CB26&lt;&gt;0, (AU26 - CB26) / CB26, "N/A")</f>
        <v>0</v>
      </c>
      <c r="CD26" s="10">
        <f ca="1">TODAY() - WEEKDAY(TODAY(), 2) - 2</f>
        <v>45576</v>
      </c>
      <c r="CE26" s="11" cm="1" vm="600">
        <f t="array" aca="1" ref="CE26" ca="1">IFERROR(_xlfn.STOCKHISTORY(P26, WORKDAY(CD26, 0), WORKDAY(CD26, 0), 0, 0, 1), "N/A")</f>
        <v>349.53</v>
      </c>
      <c r="CF26" s="12">
        <f ca="1">IF(CE26&lt;&gt;0, (AU26 - CE26) / CE26, "N/A")</f>
        <v>8.8118330329300526E-3</v>
      </c>
      <c r="CG26" s="7"/>
      <c r="CH26" s="2"/>
    </row>
    <row r="27" spans="1:116" x14ac:dyDescent="0.4">
      <c r="B27" s="6" t="str">
        <f ca="1">P27 &amp; " - " &amp; S27</f>
        <v>QQQM - Invesco NASDAQ 100</v>
      </c>
      <c r="C27" s="6"/>
      <c r="D27" s="6" cm="1">
        <f t="array" aca="1" ref="D27" ca="1">_FV(O27,"Änderung (%)",TRUE)</f>
        <v>8.4720000000000004E-3</v>
      </c>
      <c r="E27" s="6">
        <f ca="1">_xlfn.RANK.EQ(D27, D:D, 1) / COUNT(D:D)</f>
        <v>0.74545454545454548</v>
      </c>
      <c r="F27" s="6">
        <f ca="1">PERCENTRANK(AV27:BT27,BT27)</f>
        <v>0.95799999999999996</v>
      </c>
      <c r="G27" s="6">
        <f ca="1">IF(CE27&lt;&gt;0, (AU27 - CE27) / CE27, "N/A")</f>
        <v>8.4716544353051221E-3</v>
      </c>
      <c r="H27" s="6">
        <f ca="1">(AU27/AP27-1)</f>
        <v>3.1954034574870338E-2</v>
      </c>
      <c r="I27" s="6">
        <f ca="1">IF(BW27&lt;&gt;0, (AU27 -BW27) / BW27, "N/A")</f>
        <v>1.9417475728155369E-2</v>
      </c>
      <c r="J27" s="6">
        <f ca="1">_xlfn.RANK.EQ(I27, I:I, 1) / COUNT(I:I)</f>
        <v>0.47272727272727272</v>
      </c>
      <c r="K27" s="6">
        <f ca="1">IFERROR((AU27/X27-1), "Error")</f>
        <v>6.1981327800829877E-2</v>
      </c>
      <c r="L27" s="6">
        <f ca="1">_xlfn.RANK.EQ(K27, K:K, 1) / COUNT(K:K)</f>
        <v>0.30909090909090908</v>
      </c>
      <c r="M27" s="6"/>
      <c r="N27" s="6">
        <f ca="1">IF(BW27&lt;&gt;0, (AU27 -BW27) / BW27, "N/A")</f>
        <v>1.9417475728155369E-2</v>
      </c>
      <c r="O27" s="2" t="e" vm="602">
        <v>#VALUE!</v>
      </c>
      <c r="P27" s="14" t="s">
        <v>46</v>
      </c>
      <c r="Q27" s="2" t="str">
        <f>P27 &amp; ""</f>
        <v>QQQM</v>
      </c>
      <c r="R27" s="14" t="s">
        <v>71</v>
      </c>
      <c r="S27" s="2" t="str" cm="1">
        <f t="array" aca="1" ref="S27" ca="1">_FV(O27,"Name")</f>
        <v>Invesco NASDAQ 100</v>
      </c>
      <c r="T27" s="2" t="str" cm="1">
        <f t="array" aca="1" ref="T27" ca="1">_FV(O27,"Name")</f>
        <v>Invesco NASDAQ 100</v>
      </c>
      <c r="U27" s="2" cm="1" vm="603">
        <f t="array" aca="1" ref="U27:AU27" ca="1">TRANSPOSE(_xlfn.STOCKHISTORY(P27, WORKDAY(TODAY(), -27), TODAY(), 0, 0, 1))</f>
        <v>184.7</v>
      </c>
      <c r="V27" s="2" vm="604">
        <f ca="1"/>
        <v>187.04</v>
      </c>
      <c r="W27" s="2" vm="605">
        <f ca="1"/>
        <v>188.73</v>
      </c>
      <c r="X27" s="2" vm="606">
        <f ca="1"/>
        <v>192.8</v>
      </c>
      <c r="Y27" s="2" vm="607">
        <f ca="1"/>
        <v>194.77</v>
      </c>
      <c r="Z27" s="2" vm="608">
        <f ca="1"/>
        <v>195.63</v>
      </c>
      <c r="AA27" s="2" vm="609">
        <f ca="1"/>
        <v>194.79</v>
      </c>
      <c r="AB27" s="2" vm="610">
        <f ca="1"/>
        <v>194.9</v>
      </c>
      <c r="AC27" s="2" vm="611">
        <f ca="1"/>
        <v>194.03</v>
      </c>
      <c r="AD27" s="2" vm="612">
        <f ca="1"/>
        <v>198.94</v>
      </c>
      <c r="AE27" s="2" vm="613">
        <f ca="1"/>
        <v>198.59</v>
      </c>
      <c r="AF27" s="2" vm="614">
        <f ca="1"/>
        <v>198.8</v>
      </c>
      <c r="AG27" s="2" vm="615">
        <f ca="1"/>
        <v>199.74</v>
      </c>
      <c r="AH27" s="2" vm="616">
        <f ca="1"/>
        <v>199.98</v>
      </c>
      <c r="AI27" s="2" vm="617">
        <f ca="1"/>
        <v>201.44</v>
      </c>
      <c r="AJ27" s="2" vm="618">
        <f ca="1"/>
        <v>200.32</v>
      </c>
      <c r="AK27" s="2" vm="619">
        <f ca="1"/>
        <v>200.85</v>
      </c>
      <c r="AL27" s="2" vm="620">
        <f ca="1"/>
        <v>198.06</v>
      </c>
      <c r="AM27" s="2" vm="621">
        <f ca="1"/>
        <v>198.36</v>
      </c>
      <c r="AN27" s="2" vm="622">
        <f ca="1"/>
        <v>198.2</v>
      </c>
      <c r="AO27" s="2" vm="623">
        <f ca="1"/>
        <v>200.56</v>
      </c>
      <c r="AP27" s="2" vm="624">
        <f ca="1"/>
        <v>198.41</v>
      </c>
      <c r="AQ27" s="2" vm="625">
        <f ca="1"/>
        <v>201.38</v>
      </c>
      <c r="AR27" s="2" vm="626">
        <f ca="1"/>
        <v>202.97</v>
      </c>
      <c r="AS27" s="2" vm="627">
        <f ca="1"/>
        <v>202.77</v>
      </c>
      <c r="AT27" s="2" vm="628">
        <f ca="1"/>
        <v>203.03</v>
      </c>
      <c r="AU27" s="2" vm="629">
        <f ca="1"/>
        <v>204.75</v>
      </c>
      <c r="AV27" s="2">
        <f ca="1">U27/U$4</f>
        <v>0.34180916426086311</v>
      </c>
      <c r="AW27" s="2">
        <f ca="1">V27/V$4</f>
        <v>0.34230705880199852</v>
      </c>
      <c r="AX27" s="2">
        <f ca="1">W27/W$4</f>
        <v>0.34390203903132344</v>
      </c>
      <c r="AY27" s="2">
        <f ca="1">X27/X$4</f>
        <v>0.34775080264059743</v>
      </c>
      <c r="AZ27" s="2">
        <f ca="1">Y27/Y$4</f>
        <v>0.34836967214580838</v>
      </c>
      <c r="BA27" s="2">
        <f ca="1">Z27/Z$4</f>
        <v>0.34808989163893883</v>
      </c>
      <c r="BB27" s="2">
        <f ca="1">AA27/AA$4</f>
        <v>0.34608414469476223</v>
      </c>
      <c r="BC27" s="2">
        <f ca="1">AB27/AB$4</f>
        <v>0.34613813557816964</v>
      </c>
      <c r="BD27" s="2">
        <f ca="1">AC27/AC$4</f>
        <v>0.34561809761311008</v>
      </c>
      <c r="BE27" s="2">
        <f ca="1">AD27/AD$4</f>
        <v>0.34841850852919543</v>
      </c>
      <c r="BF27" s="2">
        <f ca="1">AE27/AE$4</f>
        <v>0.3494764628244611</v>
      </c>
      <c r="BG27" s="2">
        <f ca="1">AF27/AF$4</f>
        <v>0.34897396738462622</v>
      </c>
      <c r="BH27" s="2">
        <f ca="1">AG27/AG$4</f>
        <v>0.34962366532469807</v>
      </c>
      <c r="BI27" s="2">
        <f ca="1">AH27/AH$4</f>
        <v>0.35081748649217598</v>
      </c>
      <c r="BJ27" s="2">
        <f ca="1">AI27/AI$4</f>
        <v>0.35198322558098899</v>
      </c>
      <c r="BK27" s="2">
        <f ca="1">AJ27/AJ$4</f>
        <v>0.35053458624249739</v>
      </c>
      <c r="BL27" s="2">
        <f ca="1">AK27/AK$4</f>
        <v>0.35005925822643613</v>
      </c>
      <c r="BM27" s="2">
        <f ca="1">AL27/AL$4</f>
        <v>0.3483169779466076</v>
      </c>
      <c r="BN27" s="2">
        <f ca="1">AM27/AM$4</f>
        <v>0.34869739478957917</v>
      </c>
      <c r="BO27" s="2">
        <f ca="1">AN27/AN$4</f>
        <v>0.3490542777640801</v>
      </c>
      <c r="BP27" s="2">
        <f ca="1">AO27/AO$4</f>
        <v>0.35002966944745018</v>
      </c>
      <c r="BQ27" s="2">
        <f ca="1">AP27/AP$4</f>
        <v>0.34943642127509689</v>
      </c>
      <c r="BR27" s="2">
        <f ca="1">AQ27/AQ$4</f>
        <v>0.35134427831184467</v>
      </c>
      <c r="BS27" s="2">
        <f ca="1">AR27/AR$4</f>
        <v>0.35168243407145583</v>
      </c>
      <c r="BT27" s="2">
        <f ca="1">AS27/AS$4</f>
        <v>0.35195181643031959</v>
      </c>
      <c r="BU27" s="2"/>
      <c r="BV27" s="2">
        <f ca="1">EOMONTH(TODAY(), -1)</f>
        <v>45565</v>
      </c>
      <c r="BW27" s="2" cm="1" vm="619">
        <f t="array" aca="1" ref="BW27" ca="1">_xlfn.STOCKHISTORY(P27,BV27, BV27, 0, 0, 1)</f>
        <v>200.85</v>
      </c>
      <c r="BX27" s="7">
        <f ca="1">IF(BW27&lt;&gt;0, (AU27 -BW27) / BW27, "N/A")</f>
        <v>1.9417475728155369E-2</v>
      </c>
      <c r="BY27" s="7"/>
      <c r="BZ27" s="7"/>
      <c r="CA27" s="8">
        <f ca="1">TODAY() - WEEKDAY(TODAY(), 2) + 1</f>
        <v>45579</v>
      </c>
      <c r="CB27" s="7" cm="1" vm="629">
        <f t="array" aca="1" ref="CB27" ca="1">IFERROR(_xlfn.STOCKHISTORY(P27, WORKDAY(CA27, 0), WORKDAY(CA27, 0), 0, 0, 1), "N/A")</f>
        <v>204.75</v>
      </c>
      <c r="CC27" s="9">
        <f ca="1">IF(CB27&lt;&gt;0, (AU27 - CB27) / CB27, "N/A")</f>
        <v>0</v>
      </c>
      <c r="CD27" s="10">
        <f ca="1">TODAY() - WEEKDAY(TODAY(), 2) - 2</f>
        <v>45576</v>
      </c>
      <c r="CE27" s="11" cm="1" vm="628">
        <f t="array" aca="1" ref="CE27" ca="1">IFERROR(_xlfn.STOCKHISTORY(P27, WORKDAY(CD27, 0), WORKDAY(CD27, 0), 0, 0, 1), "N/A")</f>
        <v>203.03</v>
      </c>
      <c r="CF27" s="12">
        <f ca="1">IF(CE27&lt;&gt;0, (AU27 - CE27) / CE27, "N/A")</f>
        <v>8.4716544353051221E-3</v>
      </c>
      <c r="CG27" s="7"/>
      <c r="CH27" s="2"/>
    </row>
    <row r="28" spans="1:116" x14ac:dyDescent="0.4">
      <c r="B28" s="6" t="str">
        <f ca="1">P28 &amp; " - " &amp; S28</f>
        <v>QQQ - Invesco QQQ Trust 1</v>
      </c>
      <c r="C28" s="6"/>
      <c r="D28" s="6" cm="1">
        <f t="array" aca="1" ref="D28" ca="1">_FV(O28,"Änderung (%)",TRUE)</f>
        <v>8.3909999999999992E-3</v>
      </c>
      <c r="E28" s="6">
        <f ca="1">_xlfn.RANK.EQ(D28, D:D, 1) / COUNT(D:D)</f>
        <v>0.72727272727272729</v>
      </c>
      <c r="F28" s="6">
        <f ca="1">PERCENTRANK(AV28:BT28,BT28)</f>
        <v>0.95799999999999996</v>
      </c>
      <c r="G28" s="6">
        <f ca="1">IF(CE28&lt;&gt;0, (AU28 - CE28) / CE28, "N/A")</f>
        <v>8.3914383006323708E-3</v>
      </c>
      <c r="H28" s="6">
        <f ca="1">(AU28/AP28-1)</f>
        <v>3.1943580170089136E-2</v>
      </c>
      <c r="I28" s="6">
        <f ca="1">IF(BW28&lt;&gt;0, (AU28 -BW28) / BW28, "N/A")</f>
        <v>1.9320999037023393E-2</v>
      </c>
      <c r="J28" s="6">
        <f ca="1">_xlfn.RANK.EQ(I28, I:I, 1) / COUNT(I:I)</f>
        <v>0.45454545454545453</v>
      </c>
      <c r="K28" s="6">
        <f ca="1">IFERROR((AU28/X28-1), "Error")</f>
        <v>6.1627758098245833E-2</v>
      </c>
      <c r="L28" s="6">
        <f ca="1">_xlfn.RANK.EQ(K28, K:K, 1) / COUNT(K:K)</f>
        <v>0.29090909090909089</v>
      </c>
      <c r="M28" s="6"/>
      <c r="N28" s="6">
        <f ca="1">IF(BW28&lt;&gt;0, (AU28 -BW28) / BW28, "N/A")</f>
        <v>1.9320999037023393E-2</v>
      </c>
      <c r="O28" s="2" t="e" vm="630">
        <v>#VALUE!</v>
      </c>
      <c r="P28" s="14" t="s">
        <v>49</v>
      </c>
      <c r="Q28" s="2" t="str">
        <f>P28 &amp; ""</f>
        <v>QQQ</v>
      </c>
      <c r="R28" s="14" t="s">
        <v>71</v>
      </c>
      <c r="S28" s="2" t="str" cm="1">
        <f t="array" aca="1" ref="S28" ca="1">_FV(O28,"Name")</f>
        <v>Invesco QQQ Trust 1</v>
      </c>
      <c r="T28" s="2" t="str" cm="1">
        <f t="array" aca="1" ref="T28" ca="1">_FV(O28,"Name")</f>
        <v>Invesco QQQ Trust 1</v>
      </c>
      <c r="U28" s="2" cm="1" vm="631">
        <f t="array" aca="1" ref="U28:AU28" ca="1">TRANSPOSE(_xlfn.STOCKHISTORY(P28, WORKDAY(TODAY(), -27), TODAY(), 0, 0, 1))</f>
        <v>448.69</v>
      </c>
      <c r="V28" s="2" vm="632">
        <f ca="1"/>
        <v>454.46</v>
      </c>
      <c r="W28" s="2" vm="633">
        <f ca="1"/>
        <v>458.66</v>
      </c>
      <c r="X28" s="2" vm="634">
        <f ca="1"/>
        <v>468.62</v>
      </c>
      <c r="Y28" s="2" vm="635">
        <f ca="1"/>
        <v>473.22</v>
      </c>
      <c r="Z28" s="2" vm="636">
        <f ca="1"/>
        <v>475.34</v>
      </c>
      <c r="AA28" s="2" vm="637">
        <f ca="1"/>
        <v>473.24</v>
      </c>
      <c r="AB28" s="2" vm="638">
        <f ca="1"/>
        <v>473.49</v>
      </c>
      <c r="AC28" s="2" vm="639">
        <f ca="1"/>
        <v>471.44</v>
      </c>
      <c r="AD28" s="2" vm="640">
        <f ca="1"/>
        <v>483.36</v>
      </c>
      <c r="AE28" s="2" vm="641">
        <f ca="1"/>
        <v>482.44</v>
      </c>
      <c r="AF28" s="2" vm="642">
        <f ca="1"/>
        <v>483.04</v>
      </c>
      <c r="AG28" s="2" vm="643">
        <f ca="1"/>
        <v>485.37</v>
      </c>
      <c r="AH28" s="2" vm="644">
        <f ca="1"/>
        <v>485.82</v>
      </c>
      <c r="AI28" s="2" vm="645">
        <f ca="1"/>
        <v>489.47</v>
      </c>
      <c r="AJ28" s="2" vm="646">
        <f ca="1"/>
        <v>486.75</v>
      </c>
      <c r="AK28" s="2" vm="647">
        <f ca="1"/>
        <v>488.07</v>
      </c>
      <c r="AL28" s="2" vm="648">
        <f ca="1"/>
        <v>481.27</v>
      </c>
      <c r="AM28" s="2" vm="649">
        <f ca="1"/>
        <v>481.95</v>
      </c>
      <c r="AN28" s="2" vm="650">
        <f ca="1"/>
        <v>481.59</v>
      </c>
      <c r="AO28" s="2" vm="651">
        <f ca="1"/>
        <v>487.32</v>
      </c>
      <c r="AP28" s="2" vm="652">
        <f ca="1"/>
        <v>482.1</v>
      </c>
      <c r="AQ28" s="2" vm="653">
        <f ca="1"/>
        <v>489.3</v>
      </c>
      <c r="AR28" s="2" vm="654">
        <f ca="1"/>
        <v>493.15</v>
      </c>
      <c r="AS28" s="2" vm="655">
        <f ca="1"/>
        <v>492.59</v>
      </c>
      <c r="AT28" s="2" vm="656">
        <f ca="1"/>
        <v>493.36</v>
      </c>
      <c r="AU28" s="2" vm="657">
        <f ca="1"/>
        <v>497.5</v>
      </c>
      <c r="AV28" s="2">
        <f ca="1">U28/U$4</f>
        <v>0.83035383818195274</v>
      </c>
      <c r="AW28" s="2">
        <f ca="1">V28/V$4</f>
        <v>0.83171977086802951</v>
      </c>
      <c r="AX28" s="2">
        <f ca="1">W28/W$4</f>
        <v>0.8357659578345088</v>
      </c>
      <c r="AY28" s="2">
        <f ca="1">X28/X$4</f>
        <v>0.8452436780779915</v>
      </c>
      <c r="AZ28" s="2">
        <f ca="1">Y28/Y$4</f>
        <v>0.84641113237582499</v>
      </c>
      <c r="BA28" s="2">
        <f ca="1">Z28/Z$4</f>
        <v>0.8457856621768296</v>
      </c>
      <c r="BB28" s="2">
        <f ca="1">AA28/AA$4</f>
        <v>0.84080733423352993</v>
      </c>
      <c r="BC28" s="2">
        <f ca="1">AB28/AB$4</f>
        <v>0.84090788001491812</v>
      </c>
      <c r="BD28" s="2">
        <f ca="1">AC28/AC$4</f>
        <v>0.8397577484859281</v>
      </c>
      <c r="BE28" s="2">
        <f ca="1">AD28/AD$4</f>
        <v>0.84654453746190761</v>
      </c>
      <c r="BF28" s="2">
        <f ca="1">AE28/AE$4</f>
        <v>0.84899252089749233</v>
      </c>
      <c r="BG28" s="2">
        <f ca="1">AF28/AF$4</f>
        <v>0.84792950304562298</v>
      </c>
      <c r="BH28" s="2">
        <f ca="1">AG28/AG$4</f>
        <v>0.84958865744792589</v>
      </c>
      <c r="BI28" s="2">
        <f ca="1">AH28/AH$4</f>
        <v>0.85225598203634834</v>
      </c>
      <c r="BJ28" s="2">
        <f ca="1">AI28/AI$4</f>
        <v>0.85526821597064484</v>
      </c>
      <c r="BK28" s="2">
        <f ca="1">AJ28/AJ$4</f>
        <v>0.85175074807076478</v>
      </c>
      <c r="BL28" s="2">
        <f ca="1">AK28/AK$4</f>
        <v>0.85065184049079756</v>
      </c>
      <c r="BM28" s="2">
        <f ca="1">AL28/AL$4</f>
        <v>0.84638246983925991</v>
      </c>
      <c r="BN28" s="2">
        <f ca="1">AM28/AM$4</f>
        <v>0.84722075730408186</v>
      </c>
      <c r="BO28" s="2">
        <f ca="1">AN28/AN$4</f>
        <v>0.84813849459335688</v>
      </c>
      <c r="BP28" s="2">
        <f ca="1">AO28/AO$4</f>
        <v>0.85050089008342344</v>
      </c>
      <c r="BQ28" s="2">
        <f ca="1">AP28/AP$4</f>
        <v>0.84906657273687924</v>
      </c>
      <c r="BR28" s="2">
        <f ca="1">AQ28/AQ$4</f>
        <v>0.85367343022140041</v>
      </c>
      <c r="BS28" s="2">
        <f ca="1">AR28/AR$4</f>
        <v>0.85447205184184083</v>
      </c>
      <c r="BT28" s="2">
        <f ca="1">AS28/AS$4</f>
        <v>0.85499800392272574</v>
      </c>
      <c r="BU28" s="2"/>
      <c r="BV28" s="2">
        <f ca="1">EOMONTH(TODAY(), -1)</f>
        <v>45565</v>
      </c>
      <c r="BW28" s="2" cm="1" vm="647">
        <f t="array" aca="1" ref="BW28" ca="1">_xlfn.STOCKHISTORY(P28,BV28, BV28, 0, 0, 1)</f>
        <v>488.07</v>
      </c>
      <c r="BX28" s="7">
        <f ca="1">IF(BW28&lt;&gt;0, (AU28 -BW28) / BW28, "N/A")</f>
        <v>1.9320999037023393E-2</v>
      </c>
      <c r="BY28" s="7"/>
      <c r="BZ28" s="7"/>
      <c r="CA28" s="8">
        <f ca="1">TODAY() - WEEKDAY(TODAY(), 2) + 1</f>
        <v>45579</v>
      </c>
      <c r="CB28" s="7" cm="1" vm="657">
        <f t="array" aca="1" ref="CB28" ca="1">IFERROR(_xlfn.STOCKHISTORY(P28, WORKDAY(CA28, 0), WORKDAY(CA28, 0), 0, 0, 1), "N/A")</f>
        <v>497.5</v>
      </c>
      <c r="CC28" s="9">
        <f ca="1">IF(CB28&lt;&gt;0, (AU28 - CB28) / CB28, "N/A")</f>
        <v>0</v>
      </c>
      <c r="CD28" s="10">
        <f ca="1">TODAY() - WEEKDAY(TODAY(), 2) - 2</f>
        <v>45576</v>
      </c>
      <c r="CE28" s="11" cm="1" vm="656">
        <f t="array" aca="1" ref="CE28" ca="1">IFERROR(_xlfn.STOCKHISTORY(P28, WORKDAY(CD28, 0), WORKDAY(CD28, 0), 0, 0, 1), "N/A")</f>
        <v>493.36</v>
      </c>
      <c r="CF28" s="12">
        <f ca="1">IF(CE28&lt;&gt;0, (AU28 - CE28) / CE28, "N/A")</f>
        <v>8.3914383006323708E-3</v>
      </c>
      <c r="CG28" s="7"/>
      <c r="CH28" s="2"/>
    </row>
    <row r="29" spans="1:116" x14ac:dyDescent="0.4">
      <c r="B29" s="6" t="str">
        <f ca="1">P29 &amp; " - " &amp; S29</f>
        <v>EWT - iShares:MSCI Taiwan</v>
      </c>
      <c r="C29" s="6"/>
      <c r="D29" s="6" cm="1">
        <f t="array" aca="1" ref="D29" ca="1">_FV(O29,"Änderung (%)",TRUE)</f>
        <v>5.0829999999999998E-3</v>
      </c>
      <c r="E29" s="6">
        <f ca="1">_xlfn.RANK.EQ(D29, D:D, 1) / COUNT(D:D)</f>
        <v>0.54545454545454541</v>
      </c>
      <c r="F29" s="6">
        <f ca="1">PERCENTRANK(AV29:BT29,BT29)</f>
        <v>0.75</v>
      </c>
      <c r="G29" s="6">
        <f ca="1">IF(CE29&lt;&gt;0, (AU29 - CE29) / CE29, "N/A")</f>
        <v>5.0825921219821019E-3</v>
      </c>
      <c r="H29" s="6">
        <f ca="1">(AU29/AP29-1)</f>
        <v>3.1290743155149903E-2</v>
      </c>
      <c r="I29" s="6">
        <f ca="1">IF(BW29&lt;&gt;0, (AU29 -BW29) / BW29, "N/A")</f>
        <v>2.7844811583441618E-2</v>
      </c>
      <c r="J29" s="6">
        <f ca="1">_xlfn.RANK.EQ(I29, I:I, 1) / COUNT(I:I)</f>
        <v>0.61818181818181817</v>
      </c>
      <c r="K29" s="6">
        <f ca="1">IFERROR((AU29/X29-1), "Error")</f>
        <v>6.4807692307692344E-2</v>
      </c>
      <c r="L29" s="6">
        <f ca="1">_xlfn.RANK.EQ(K29, K:K, 1) / COUNT(K:K)</f>
        <v>0.38181818181818183</v>
      </c>
      <c r="M29" s="6"/>
      <c r="N29" s="6">
        <f ca="1">IF(BW29&lt;&gt;0, (AU29 -BW29) / BW29, "N/A")</f>
        <v>2.7844811583441618E-2</v>
      </c>
      <c r="O29" s="2" t="e" vm="658">
        <v>#VALUE!</v>
      </c>
      <c r="P29" s="14" t="s">
        <v>43</v>
      </c>
      <c r="Q29" s="2" t="str">
        <f>P29 &amp; ""</f>
        <v>EWT</v>
      </c>
      <c r="R29" s="14" t="s">
        <v>71</v>
      </c>
      <c r="S29" s="2" t="str" cm="1">
        <f t="array" aca="1" ref="S29" ca="1">_FV(O29,"Name")</f>
        <v>iShares:MSCI Taiwan</v>
      </c>
      <c r="T29" s="2" t="str" cm="1">
        <f t="array" aca="1" ref="T29" ca="1">_FV(O29,"Name")</f>
        <v>iShares:MSCI Taiwan</v>
      </c>
      <c r="U29" s="2" cm="1" vm="659">
        <f t="array" aca="1" ref="U29:AU29" ca="1">TRANSPOSE(_xlfn.STOCKHISTORY(P29, WORKDAY(TODAY(), -27), TODAY(), 0, 0, 1))</f>
        <v>50.08</v>
      </c>
      <c r="V29" s="2" vm="660">
        <f ca="1"/>
        <v>51.22</v>
      </c>
      <c r="W29" s="2" vm="661">
        <f ca="1"/>
        <v>50.8</v>
      </c>
      <c r="X29" s="2" vm="662">
        <f ca="1"/>
        <v>52</v>
      </c>
      <c r="Y29" s="2" vm="663">
        <f ca="1"/>
        <v>52.5</v>
      </c>
      <c r="Z29" s="2" vm="664">
        <f ca="1"/>
        <v>52.55</v>
      </c>
      <c r="AA29" s="2" vm="665">
        <f ca="1"/>
        <v>52.57</v>
      </c>
      <c r="AB29" s="2" vm="347">
        <f ca="1"/>
        <v>52.31</v>
      </c>
      <c r="AC29" s="2" vm="666">
        <f ca="1"/>
        <v>52.02</v>
      </c>
      <c r="AD29" s="2" vm="667">
        <f ca="1"/>
        <v>53.71</v>
      </c>
      <c r="AE29" s="2" vm="668">
        <f ca="1"/>
        <v>53.16</v>
      </c>
      <c r="AF29" s="2" vm="669">
        <f ca="1"/>
        <v>53.52</v>
      </c>
      <c r="AG29" s="2" vm="670">
        <f ca="1"/>
        <v>55.23</v>
      </c>
      <c r="AH29" s="2" vm="671">
        <f ca="1"/>
        <v>55.01</v>
      </c>
      <c r="AI29" s="2" vm="672">
        <f ca="1"/>
        <v>56.38</v>
      </c>
      <c r="AJ29" s="2" vm="673">
        <f ca="1"/>
        <v>55.5</v>
      </c>
      <c r="AK29" s="2" vm="674">
        <f ca="1"/>
        <v>53.87</v>
      </c>
      <c r="AL29" s="2" vm="675">
        <f ca="1"/>
        <v>53.51</v>
      </c>
      <c r="AM29" s="2" vm="676">
        <f ca="1"/>
        <v>53.6</v>
      </c>
      <c r="AN29" s="2" vm="677">
        <f ca="1"/>
        <v>53.65</v>
      </c>
      <c r="AO29" s="2" vm="678">
        <f ca="1"/>
        <v>53.78</v>
      </c>
      <c r="AP29" s="2" vm="679">
        <f ca="1"/>
        <v>53.69</v>
      </c>
      <c r="AQ29" s="2" vm="680">
        <f ca="1"/>
        <v>54.34</v>
      </c>
      <c r="AR29" s="2" vm="681">
        <f ca="1"/>
        <v>54.32</v>
      </c>
      <c r="AS29" s="2" vm="682">
        <f ca="1"/>
        <v>54.44</v>
      </c>
      <c r="AT29" s="2" vm="683">
        <f ca="1"/>
        <v>55.09</v>
      </c>
      <c r="AU29" s="2" vm="684">
        <f ca="1"/>
        <v>55.37</v>
      </c>
      <c r="AV29" s="2">
        <f ca="1">U29/U$4</f>
        <v>9.2678954770893468E-2</v>
      </c>
      <c r="AW29" s="2">
        <f ca="1">V29/V$4</f>
        <v>9.3739133617613157E-2</v>
      </c>
      <c r="AX29" s="2">
        <f ca="1">W29/W$4</f>
        <v>9.2567284389292806E-2</v>
      </c>
      <c r="AY29" s="2">
        <f ca="1">X29/X$4</f>
        <v>9.3791710255762786E-2</v>
      </c>
      <c r="AZ29" s="2">
        <f ca="1">Y29/Y$4</f>
        <v>9.390259171153123E-2</v>
      </c>
      <c r="BA29" s="2">
        <f ca="1">Z29/Z$4</f>
        <v>9.3503674311844975E-2</v>
      </c>
      <c r="BB29" s="2">
        <f ca="1">AA29/AA$4</f>
        <v>9.3401321867671097E-2</v>
      </c>
      <c r="BC29" s="2">
        <f ca="1">AB29/AB$4</f>
        <v>9.2901415454561598E-2</v>
      </c>
      <c r="BD29" s="2">
        <f ca="1">AC29/AC$4</f>
        <v>9.2661204132525835E-2</v>
      </c>
      <c r="BE29" s="2">
        <f ca="1">AD29/AD$4</f>
        <v>9.4066342078531651E-2</v>
      </c>
      <c r="BF29" s="2">
        <f ca="1">AE29/AE$4</f>
        <v>9.3550373955125374E-2</v>
      </c>
      <c r="BG29" s="2">
        <f ca="1">AF29/AF$4</f>
        <v>9.3949128442782678E-2</v>
      </c>
      <c r="BH29" s="2">
        <f ca="1">AG29/AG$4</f>
        <v>9.667425170663399E-2</v>
      </c>
      <c r="BI29" s="2">
        <f ca="1">AH29/AH$4</f>
        <v>9.6501999859658974E-2</v>
      </c>
      <c r="BJ29" s="2">
        <f ca="1">AI29/AI$4</f>
        <v>9.8514764983400324E-2</v>
      </c>
      <c r="BK29" s="2">
        <f ca="1">AJ29/AJ$4</f>
        <v>9.7117958947976271E-2</v>
      </c>
      <c r="BL29" s="2">
        <f ca="1">AK29/AK$4</f>
        <v>9.3889431121026212E-2</v>
      </c>
      <c r="BM29" s="2">
        <f ca="1">AL29/AL$4</f>
        <v>9.4105026203791631E-2</v>
      </c>
      <c r="BN29" s="2">
        <f ca="1">AM29/AM$4</f>
        <v>9.4223534788876004E-2</v>
      </c>
      <c r="BO29" s="2">
        <f ca="1">AN29/AN$4</f>
        <v>9.4484167517875375E-2</v>
      </c>
      <c r="BP29" s="2">
        <f ca="1">AO29/AO$4</f>
        <v>9.3860169639428948E-2</v>
      </c>
      <c r="BQ29" s="2">
        <f ca="1">AP29/AP$4</f>
        <v>9.4557942937654113E-2</v>
      </c>
      <c r="BR29" s="2">
        <f ca="1">AQ29/AQ$4</f>
        <v>9.4806078475844879E-2</v>
      </c>
      <c r="BS29" s="2">
        <f ca="1">AR29/AR$4</f>
        <v>9.4119277818207017E-2</v>
      </c>
      <c r="BT29" s="2">
        <f ca="1">AS29/AS$4</f>
        <v>9.4492562442504299E-2</v>
      </c>
      <c r="BU29" s="2"/>
      <c r="BV29" s="2">
        <f ca="1">EOMONTH(TODAY(), -1)</f>
        <v>45565</v>
      </c>
      <c r="BW29" s="2" cm="1" vm="674">
        <f t="array" aca="1" ref="BW29" ca="1">_xlfn.STOCKHISTORY(P29,BV29, BV29, 0, 0, 1)</f>
        <v>53.87</v>
      </c>
      <c r="BX29" s="7">
        <f ca="1">IF(BW29&lt;&gt;0, (AU29 -BW29) / BW29, "N/A")</f>
        <v>2.7844811583441618E-2</v>
      </c>
      <c r="BY29" s="7"/>
      <c r="BZ29" s="7"/>
      <c r="CA29" s="8">
        <f ca="1">TODAY() - WEEKDAY(TODAY(), 2) + 1</f>
        <v>45579</v>
      </c>
      <c r="CB29" s="7" cm="1" vm="684">
        <f t="array" aca="1" ref="CB29" ca="1">IFERROR(_xlfn.STOCKHISTORY(P29, WORKDAY(CA29, 0), WORKDAY(CA29, 0), 0, 0, 1), "N/A")</f>
        <v>55.37</v>
      </c>
      <c r="CC29" s="9">
        <f ca="1">IF(CB29&lt;&gt;0, (AU29 - CB29) / CB29, "N/A")</f>
        <v>0</v>
      </c>
      <c r="CD29" s="10">
        <f ca="1">TODAY() - WEEKDAY(TODAY(), 2) - 2</f>
        <v>45576</v>
      </c>
      <c r="CE29" s="11" cm="1" vm="683">
        <f t="array" aca="1" ref="CE29" ca="1">IFERROR(_xlfn.STOCKHISTORY(P29, WORKDAY(CD29, 0), WORKDAY(CD29, 0), 0, 0, 1), "N/A")</f>
        <v>55.09</v>
      </c>
      <c r="CF29" s="12">
        <f ca="1">IF(CE29&lt;&gt;0, (AU29 - CE29) / CE29, "N/A")</f>
        <v>5.0825921219821019E-3</v>
      </c>
      <c r="CG29" s="7"/>
      <c r="CH29" s="2"/>
    </row>
    <row r="30" spans="1:116" x14ac:dyDescent="0.4">
      <c r="B30" s="6" t="str">
        <f ca="1">P30 &amp; " - " &amp; S30</f>
        <v>VV - Vanguard Lg-Cp I;ETF</v>
      </c>
      <c r="C30" s="6"/>
      <c r="D30" s="6" cm="1">
        <f t="array" aca="1" ref="D30" ca="1">_FV(O30,"Änderung (%)",TRUE)</f>
        <v>8.7220000000000006E-3</v>
      </c>
      <c r="E30" s="6">
        <f ca="1">_xlfn.RANK.EQ(D30, D:D, 1) / COUNT(D:D)</f>
        <v>0.78181818181818186</v>
      </c>
      <c r="F30" s="6">
        <f ca="1">PERCENTRANK(AV30:BT30,BT30)</f>
        <v>0.79100000000000004</v>
      </c>
      <c r="G30" s="6">
        <f ca="1">IF(CE30&lt;&gt;0, (AU30 - CE30) / CE30, "N/A")</f>
        <v>8.7218045112781705E-3</v>
      </c>
      <c r="H30" s="6">
        <f ca="1">(AU30/AP30-1)</f>
        <v>3.0929419449033713E-2</v>
      </c>
      <c r="I30" s="6">
        <f ca="1">IF(BW30&lt;&gt;0, (AU30 -BW30) / BW30, "N/A")</f>
        <v>1.9104409586387528E-2</v>
      </c>
      <c r="J30" s="6">
        <f ca="1">_xlfn.RANK.EQ(I30, I:I, 1) / COUNT(I:I)</f>
        <v>0.43636363636363634</v>
      </c>
      <c r="K30" s="6">
        <f ca="1">IFERROR((AU30/X30-1), "Error")</f>
        <v>5.5796017942866261E-2</v>
      </c>
      <c r="L30" s="6">
        <f ca="1">_xlfn.RANK.EQ(K30, K:K, 1) / COUNT(K:K)</f>
        <v>0.27272727272727271</v>
      </c>
      <c r="M30" s="6"/>
      <c r="N30" s="6">
        <f ca="1">IF(BW30&lt;&gt;0, (AU30 -BW30) / BW30, "N/A")</f>
        <v>1.9104409586387528E-2</v>
      </c>
      <c r="O30" s="2" t="e" vm="685">
        <v>#VALUE!</v>
      </c>
      <c r="P30" s="14" t="s">
        <v>52</v>
      </c>
      <c r="Q30" s="2" t="str">
        <f>P30 &amp; ""</f>
        <v>VV</v>
      </c>
      <c r="R30" s="14" t="s">
        <v>71</v>
      </c>
      <c r="S30" s="2" t="str" cm="1">
        <f t="array" aca="1" ref="S30" ca="1">_FV(O30,"Name")</f>
        <v>Vanguard Lg-Cp I;ETF</v>
      </c>
      <c r="T30" s="2" t="str" cm="1">
        <f t="array" aca="1" ref="T30" ca="1">_FV(O30,"Name")</f>
        <v>Vanguard Lg-Cp I;ETF</v>
      </c>
      <c r="U30" s="2" cm="1" vm="686">
        <f t="array" aca="1" ref="U30:AU30" ca="1">TRANSPOSE(_xlfn.STOCKHISTORY(P30, WORKDAY(TODAY(), -27), TODAY(), 0, 0, 1))</f>
        <v>247.72</v>
      </c>
      <c r="V30" s="2" vm="687">
        <f ca="1"/>
        <v>250.68</v>
      </c>
      <c r="W30" s="2" vm="688">
        <f ca="1"/>
        <v>251.74</v>
      </c>
      <c r="X30" s="2" vm="689">
        <f ca="1"/>
        <v>254.14</v>
      </c>
      <c r="Y30" s="2" vm="690">
        <f ca="1"/>
        <v>256.57</v>
      </c>
      <c r="Z30" s="2" vm="691">
        <f ca="1"/>
        <v>257.94</v>
      </c>
      <c r="AA30" s="2" vm="692">
        <f ca="1"/>
        <v>258.31</v>
      </c>
      <c r="AB30" s="2" vm="693">
        <f ca="1"/>
        <v>258.35000000000002</v>
      </c>
      <c r="AC30" s="2" vm="694">
        <f ca="1"/>
        <v>257.56</v>
      </c>
      <c r="AD30" s="2" vm="695">
        <f ca="1"/>
        <v>262.05</v>
      </c>
      <c r="AE30" s="2" vm="696">
        <f ca="1"/>
        <v>261.42</v>
      </c>
      <c r="AF30" s="2" vm="697">
        <f ca="1"/>
        <v>262.22000000000003</v>
      </c>
      <c r="AG30" s="2" vm="698">
        <f ca="1"/>
        <v>262.98</v>
      </c>
      <c r="AH30" s="2" vm="699">
        <f ca="1"/>
        <v>262.26</v>
      </c>
      <c r="AI30" s="2" vm="700">
        <f ca="1"/>
        <v>263.39999999999998</v>
      </c>
      <c r="AJ30" s="2" vm="701">
        <f ca="1"/>
        <v>262.11</v>
      </c>
      <c r="AK30" s="2" vm="702">
        <f ca="1"/>
        <v>263.29000000000002</v>
      </c>
      <c r="AL30" s="2" vm="703">
        <f ca="1"/>
        <v>260.95</v>
      </c>
      <c r="AM30" s="2" vm="704">
        <f ca="1"/>
        <v>260.98</v>
      </c>
      <c r="AN30" s="2" vm="705">
        <f ca="1"/>
        <v>260.32</v>
      </c>
      <c r="AO30" s="2" vm="706">
        <f ca="1"/>
        <v>263.01</v>
      </c>
      <c r="AP30" s="2" vm="707">
        <f ca="1"/>
        <v>260.27</v>
      </c>
      <c r="AQ30" s="2" vm="708">
        <f ca="1"/>
        <v>263.10000000000002</v>
      </c>
      <c r="AR30" s="2" vm="709">
        <f ca="1"/>
        <v>264.74</v>
      </c>
      <c r="AS30" s="2" vm="710">
        <f ca="1"/>
        <v>264.51</v>
      </c>
      <c r="AT30" s="2" vm="711">
        <f ca="1"/>
        <v>266</v>
      </c>
      <c r="AU30" s="2" vm="712">
        <f ca="1"/>
        <v>268.32</v>
      </c>
      <c r="AV30" s="2">
        <f ca="1">U30/U$4</f>
        <v>0.45843511732918796</v>
      </c>
      <c r="AW30" s="2">
        <f ca="1">V30/V$4</f>
        <v>0.45877637671345695</v>
      </c>
      <c r="AX30" s="2">
        <f ca="1">W30/W$4</f>
        <v>0.4587182711055231</v>
      </c>
      <c r="AY30" s="2">
        <f ca="1">X30/X$4</f>
        <v>0.45838894700768373</v>
      </c>
      <c r="AZ30" s="2">
        <f ca="1">Y30/Y$4</f>
        <v>0.45890643724623936</v>
      </c>
      <c r="BA30" s="2">
        <f ca="1">Z30/Z$4</f>
        <v>0.4589598049856764</v>
      </c>
      <c r="BB30" s="2">
        <f ca="1">AA30/AA$4</f>
        <v>0.4589403738184919</v>
      </c>
      <c r="BC30" s="2">
        <f ca="1">AB30/AB$4</f>
        <v>0.45882394728896941</v>
      </c>
      <c r="BD30" s="2">
        <f ca="1">AC30/AC$4</f>
        <v>0.4587816173851087</v>
      </c>
      <c r="BE30" s="2">
        <f ca="1">AD30/AD$4</f>
        <v>0.45894777400259201</v>
      </c>
      <c r="BF30" s="2">
        <f ca="1">AE30/AE$4</f>
        <v>0.46004399472063356</v>
      </c>
      <c r="BG30" s="2">
        <f ca="1">AF30/AF$4</f>
        <v>0.4603015781066232</v>
      </c>
      <c r="BH30" s="2">
        <f ca="1">AG30/AG$4</f>
        <v>0.46031857167862777</v>
      </c>
      <c r="BI30" s="2">
        <f ca="1">AH30/AH$4</f>
        <v>0.46007297733492386</v>
      </c>
      <c r="BJ30" s="2">
        <f ca="1">AI30/AI$4</f>
        <v>0.46024812161453782</v>
      </c>
      <c r="BK30" s="2">
        <f ca="1">AJ30/AJ$4</f>
        <v>0.45865924720457768</v>
      </c>
      <c r="BL30" s="2">
        <f ca="1">AK30/AK$4</f>
        <v>0.45888524818739546</v>
      </c>
      <c r="BM30" s="2">
        <f ca="1">AL30/AL$4</f>
        <v>0.45891808237487247</v>
      </c>
      <c r="BN30" s="2">
        <f ca="1">AM30/AM$4</f>
        <v>0.45877720352986678</v>
      </c>
      <c r="BO30" s="2">
        <f ca="1">AN30/AN$4</f>
        <v>0.45845514423584932</v>
      </c>
      <c r="BP30" s="2">
        <f ca="1">AO30/AO$4</f>
        <v>0.4590212572864672</v>
      </c>
      <c r="BQ30" s="2">
        <f ca="1">AP30/AP$4</f>
        <v>0.45838323353293414</v>
      </c>
      <c r="BR30" s="2">
        <f ca="1">AQ30/AQ$4</f>
        <v>0.45902611790568248</v>
      </c>
      <c r="BS30" s="2">
        <f ca="1">AR30/AR$4</f>
        <v>0.45871019163461207</v>
      </c>
      <c r="BT30" s="2">
        <f ca="1">AS30/AS$4</f>
        <v>0.45911513026573864</v>
      </c>
      <c r="BU30" s="2"/>
      <c r="BV30" s="2">
        <f ca="1">EOMONTH(TODAY(), -1)</f>
        <v>45565</v>
      </c>
      <c r="BW30" s="2" cm="1" vm="702">
        <f t="array" aca="1" ref="BW30" ca="1">_xlfn.STOCKHISTORY(P30,BV30, BV30, 0, 0, 1)</f>
        <v>263.29000000000002</v>
      </c>
      <c r="BX30" s="7">
        <f ca="1">IF(BW30&lt;&gt;0, (AU30 -BW30) / BW30, "N/A")</f>
        <v>1.9104409586387528E-2</v>
      </c>
      <c r="BY30" s="7"/>
      <c r="BZ30" s="7"/>
      <c r="CA30" s="8">
        <f ca="1">TODAY() - WEEKDAY(TODAY(), 2) + 1</f>
        <v>45579</v>
      </c>
      <c r="CB30" s="7" cm="1" vm="712">
        <f t="array" aca="1" ref="CB30" ca="1">IFERROR(_xlfn.STOCKHISTORY(P30, WORKDAY(CA30, 0), WORKDAY(CA30, 0), 0, 0, 1), "N/A")</f>
        <v>268.32</v>
      </c>
      <c r="CC30" s="9">
        <f ca="1">IF(CB30&lt;&gt;0, (AU30 - CB30) / CB30, "N/A")</f>
        <v>0</v>
      </c>
      <c r="CD30" s="10">
        <f ca="1">TODAY() - WEEKDAY(TODAY(), 2) - 2</f>
        <v>45576</v>
      </c>
      <c r="CE30" s="11" cm="1" vm="711">
        <f t="array" aca="1" ref="CE30" ca="1">IFERROR(_xlfn.STOCKHISTORY(P30, WORKDAY(CD30, 0), WORKDAY(CD30, 0), 0, 0, 1), "N/A")</f>
        <v>266</v>
      </c>
      <c r="CF30" s="12">
        <f ca="1">IF(CE30&lt;&gt;0, (AU30 - CE30) / CE30, "N/A")</f>
        <v>8.7218045112781705E-3</v>
      </c>
      <c r="CG30" s="7"/>
      <c r="CH30" s="2"/>
    </row>
    <row r="31" spans="1:116" x14ac:dyDescent="0.4">
      <c r="A31" s="1"/>
      <c r="B31" s="6" t="str">
        <f ca="1">P31 &amp; " - " &amp; S31</f>
        <v>FFTY - Innovator IBD 50</v>
      </c>
      <c r="C31" s="6"/>
      <c r="D31" s="6" cm="1">
        <f t="array" aca="1" ref="D31" ca="1">_FV(O31,"Änderung (%)",TRUE)</f>
        <v>7.2170000000000003E-3</v>
      </c>
      <c r="E31" s="6">
        <f ca="1">_xlfn.RANK.EQ(D31, D:D, 1) / COUNT(D:D)</f>
        <v>0.63636363636363635</v>
      </c>
      <c r="F31" s="6">
        <f ca="1">PERCENTRANK(AV31:BT31,BT31)</f>
        <v>0.70799999999999996</v>
      </c>
      <c r="G31" s="6">
        <f ca="1">IF(CE31&lt;&gt;0, (AU31 - CE31) / CE31, "N/A")</f>
        <v>7.2171821106635009E-3</v>
      </c>
      <c r="H31" s="6">
        <f ca="1">(AU31/AP31-1)</f>
        <v>3.0774935113088597E-2</v>
      </c>
      <c r="I31" s="6">
        <f ca="1">IF(BW31&lt;&gt;0, (AU31 -BW31) / BW31, "N/A")</f>
        <v>3.345724907063205E-2</v>
      </c>
      <c r="J31" s="6">
        <f ca="1">_xlfn.RANK.EQ(I31, I:I, 1) / COUNT(I:I)</f>
        <v>0.67272727272727273</v>
      </c>
      <c r="K31" s="6">
        <f ca="1">IFERROR((AU31/X31-1), "Error")</f>
        <v>0.10361254466057956</v>
      </c>
      <c r="L31" s="6">
        <f ca="1">_xlfn.RANK.EQ(K31, K:K, 1) / COUNT(K:K)</f>
        <v>0.70909090909090911</v>
      </c>
      <c r="M31" s="6"/>
      <c r="N31" s="6">
        <f ca="1">IF(BW31&lt;&gt;0, (AU31 -BW31) / BW31, "N/A")</f>
        <v>3.345724907063205E-2</v>
      </c>
      <c r="O31" s="2" t="e" vm="713">
        <v>#VALUE!</v>
      </c>
      <c r="P31" s="2" t="str" cm="1">
        <f t="array" aca="1" ref="P31" ca="1">_FV(O31,"Ticker-Symbol",TRUE)</f>
        <v>FFTY</v>
      </c>
      <c r="Q31" s="2" t="str">
        <f ca="1">P31 &amp; ""</f>
        <v>FFTY</v>
      </c>
      <c r="R31" s="14" t="s">
        <v>71</v>
      </c>
      <c r="S31" s="2" t="str" cm="1">
        <f t="array" aca="1" ref="S31" ca="1">_FV(O31,"Name")</f>
        <v>Innovator IBD 50</v>
      </c>
      <c r="T31" s="2" t="str" cm="1">
        <f t="array" aca="1" ref="T31" ca="1">_FV(O31,"Name")</f>
        <v>Innovator IBD 50</v>
      </c>
      <c r="U31" s="2" cm="1" vm="714">
        <f t="array" aca="1" ref="U31:AU31" ca="1">TRANSPOSE(_xlfn.STOCKHISTORY(P31, WORKDAY(TODAY(), -27), TODAY(), 0, 0, 1))</f>
        <v>24.33</v>
      </c>
      <c r="V31" s="2" vm="715">
        <f ca="1"/>
        <v>24.85</v>
      </c>
      <c r="W31" s="2" vm="716">
        <f ca="1"/>
        <v>24.75</v>
      </c>
      <c r="X31" s="2" vm="717">
        <f ca="1"/>
        <v>25.19</v>
      </c>
      <c r="Y31" s="2" vm="718">
        <f ca="1"/>
        <v>25.588999999999999</v>
      </c>
      <c r="Z31" s="2" vm="719">
        <f ca="1"/>
        <v>26.02</v>
      </c>
      <c r="AA31" s="2" vm="720">
        <f ca="1"/>
        <v>26.125</v>
      </c>
      <c r="AB31" s="2" vm="721">
        <f ca="1"/>
        <v>26.273299999999999</v>
      </c>
      <c r="AC31" s="2" vm="722">
        <f ca="1"/>
        <v>26.41</v>
      </c>
      <c r="AD31" s="2" vm="723">
        <f ca="1"/>
        <v>26.97</v>
      </c>
      <c r="AE31" s="2" vm="724">
        <f ca="1"/>
        <v>26.99</v>
      </c>
      <c r="AF31" s="2" vm="725">
        <f ca="1"/>
        <v>26.95</v>
      </c>
      <c r="AG31" s="2" vm="726">
        <f ca="1"/>
        <v>26.89</v>
      </c>
      <c r="AH31" s="2" vm="727">
        <f ca="1"/>
        <v>26.82</v>
      </c>
      <c r="AI31" s="2" vm="728">
        <f ca="1"/>
        <v>26.6</v>
      </c>
      <c r="AJ31" s="2" vm="729">
        <f ca="1"/>
        <v>26.759599999999999</v>
      </c>
      <c r="AK31" s="2" vm="730">
        <f ca="1"/>
        <v>26.9</v>
      </c>
      <c r="AL31" s="2" vm="731">
        <f ca="1"/>
        <v>26.52</v>
      </c>
      <c r="AM31" s="2" vm="732">
        <f ca="1"/>
        <v>26.58</v>
      </c>
      <c r="AN31" s="2" vm="731">
        <f ca="1"/>
        <v>26.52</v>
      </c>
      <c r="AO31" s="2" vm="733">
        <f ca="1"/>
        <v>27.11</v>
      </c>
      <c r="AP31" s="2" vm="723">
        <f ca="1"/>
        <v>26.97</v>
      </c>
      <c r="AQ31" s="2" vm="734">
        <f ca="1"/>
        <v>27.29</v>
      </c>
      <c r="AR31" s="2" vm="735">
        <f ca="1"/>
        <v>27.49</v>
      </c>
      <c r="AS31" s="2" vm="736">
        <f ca="1"/>
        <v>27.14</v>
      </c>
      <c r="AT31" s="2" vm="737">
        <f ca="1"/>
        <v>27.6008</v>
      </c>
      <c r="AU31" s="2" vm="738">
        <f ca="1"/>
        <v>27.8</v>
      </c>
      <c r="AV31" s="2">
        <f ca="1">U31/U$4</f>
        <v>4.5025538529868972E-2</v>
      </c>
      <c r="AW31" s="2">
        <f ca="1">V31/V$4</f>
        <v>4.5478669863289474E-2</v>
      </c>
      <c r="AX31" s="2">
        <f ca="1">W31/W$4</f>
        <v>4.5099218280216478E-2</v>
      </c>
      <c r="AY31" s="2">
        <f ca="1">X31/X$4</f>
        <v>4.5434868871974322E-2</v>
      </c>
      <c r="AZ31" s="2">
        <f ca="1">Y31/Y$4</f>
        <v>4.5769017510597573E-2</v>
      </c>
      <c r="BA31" s="2">
        <f ca="1">Z31/Z$4</f>
        <v>4.6298108574580527E-2</v>
      </c>
      <c r="BB31" s="2">
        <f ca="1">AA31/AA$4</f>
        <v>4.641638831639542E-2</v>
      </c>
      <c r="BC31" s="2">
        <f ca="1">AB31/AB$4</f>
        <v>4.6660805938870828E-2</v>
      </c>
      <c r="BD31" s="2">
        <f ca="1">AC31/AC$4</f>
        <v>4.7043106519415748E-2</v>
      </c>
      <c r="BE31" s="2">
        <f ca="1">AD31/AD$4</f>
        <v>4.723457914462853E-2</v>
      </c>
      <c r="BF31" s="2">
        <f ca="1">AE31/AE$4</f>
        <v>4.7496700395952482E-2</v>
      </c>
      <c r="BG31" s="2">
        <f ca="1">AF31/AF$4</f>
        <v>4.7308090648972213E-2</v>
      </c>
      <c r="BH31" s="2">
        <f ca="1">AG31/AG$4</f>
        <v>4.7068090320322074E-2</v>
      </c>
      <c r="BI31" s="2">
        <f ca="1">AH31/AH$4</f>
        <v>4.7049329871587962E-2</v>
      </c>
      <c r="BJ31" s="2">
        <f ca="1">AI31/AI$4</f>
        <v>4.6479119343001932E-2</v>
      </c>
      <c r="BK31" s="2">
        <f ca="1">AJ31/AJ$4</f>
        <v>4.6825905121878661E-2</v>
      </c>
      <c r="BL31" s="2">
        <f ca="1">AK31/AK$4</f>
        <v>4.6883714445064138E-2</v>
      </c>
      <c r="BM31" s="2">
        <f ca="1">AL31/AL$4</f>
        <v>4.663923182441701E-2</v>
      </c>
      <c r="BN31" s="2">
        <f ca="1">AM31/AM$4</f>
        <v>4.6725029005379178E-2</v>
      </c>
      <c r="BO31" s="2">
        <f ca="1">AN31/AN$4</f>
        <v>4.6704941706878937E-2</v>
      </c>
      <c r="BP31" s="2">
        <f ca="1">AO31/AO$4</f>
        <v>4.7314042374952001E-2</v>
      </c>
      <c r="BQ31" s="2">
        <f ca="1">AP31/AP$4</f>
        <v>4.7499119408242342E-2</v>
      </c>
      <c r="BR31" s="2">
        <f ca="1">AQ31/AQ$4</f>
        <v>4.7612401207320694E-2</v>
      </c>
      <c r="BS31" s="2">
        <f ca="1">AR31/AR$4</f>
        <v>4.7631423917940188E-2</v>
      </c>
      <c r="BT31" s="2">
        <f ca="1">AS31/AS$4</f>
        <v>4.7107423671740756E-2</v>
      </c>
      <c r="BU31" s="2"/>
      <c r="BV31" s="2">
        <f ca="1">EOMONTH(TODAY(), -1)</f>
        <v>45565</v>
      </c>
      <c r="BW31" s="2" cm="1" vm="730">
        <f t="array" aca="1" ref="BW31" ca="1">_xlfn.STOCKHISTORY(P31,BV31, BV31, 0, 0, 1)</f>
        <v>26.9</v>
      </c>
      <c r="BX31" s="7">
        <f ca="1">IF(BW31&lt;&gt;0, (AU31 -BW31) / BW31, "N/A")</f>
        <v>3.345724907063205E-2</v>
      </c>
      <c r="BY31" s="7"/>
      <c r="BZ31" s="7"/>
      <c r="CA31" s="8">
        <f ca="1">TODAY() - WEEKDAY(TODAY(), 2) + 1</f>
        <v>45579</v>
      </c>
      <c r="CB31" s="7" cm="1" vm="738">
        <f t="array" aca="1" ref="CB31" ca="1">IFERROR(_xlfn.STOCKHISTORY(P31, WORKDAY(CA31, 0), WORKDAY(CA31, 0), 0, 0, 1), "N/A")</f>
        <v>27.8</v>
      </c>
      <c r="CC31" s="9">
        <f ca="1">IF(CB31&lt;&gt;0, (AU31 - CB31) / CB31, "N/A")</f>
        <v>0</v>
      </c>
      <c r="CD31" s="10">
        <f ca="1">TODAY() - WEEKDAY(TODAY(), 2) - 2</f>
        <v>45576</v>
      </c>
      <c r="CE31" s="11" cm="1" vm="737">
        <f t="array" aca="1" ref="CE31" ca="1">IFERROR(_xlfn.STOCKHISTORY(P31, WORKDAY(CD31, 0), WORKDAY(CD31, 0), 0, 0, 1), "N/A")</f>
        <v>27.6008</v>
      </c>
      <c r="CF31" s="12">
        <f ca="1">IF(CE31&lt;&gt;0, (AU31 - CE31) / CE31, "N/A")</f>
        <v>7.2171821106635009E-3</v>
      </c>
      <c r="CG31" s="7"/>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row>
    <row r="32" spans="1:116" x14ac:dyDescent="0.4">
      <c r="B32" s="6" t="str">
        <f ca="1">P32 &amp; " - " &amp; S32</f>
        <v>VOO - Vanguard 500 Idx;ETF</v>
      </c>
      <c r="C32" s="6"/>
      <c r="D32" s="6" cm="1">
        <f t="array" aca="1" ref="D32" ca="1">_FV(O32,"Änderung (%)",TRUE)</f>
        <v>8.1849999999999996E-3</v>
      </c>
      <c r="E32" s="6">
        <f ca="1">_xlfn.RANK.EQ(D32, D:D, 1) / COUNT(D:D)</f>
        <v>0.70909090909090911</v>
      </c>
      <c r="F32" s="6">
        <f ca="1">PERCENTRANK(AV32:BT32,BT32)</f>
        <v>0.45800000000000002</v>
      </c>
      <c r="G32" s="6">
        <f ca="1">IF(CE32&lt;&gt;0, (AU32 - CE32) / CE32, "N/A")</f>
        <v>8.1845657111749605E-3</v>
      </c>
      <c r="H32" s="6">
        <f ca="1">(AU32/AP32-1)</f>
        <v>2.9047153723822383E-2</v>
      </c>
      <c r="I32" s="6">
        <f ca="1">IF(BW32&lt;&gt;0, (AU32 -BW32) / BW32, "N/A")</f>
        <v>1.7814164155627744E-2</v>
      </c>
      <c r="J32" s="6">
        <f ca="1">_xlfn.RANK.EQ(I32, I:I, 1) / COUNT(I:I)</f>
        <v>0.4</v>
      </c>
      <c r="K32" s="6">
        <f ca="1">IFERROR((AU32/X32-1), "Error")</f>
        <v>5.4194637459270778E-2</v>
      </c>
      <c r="L32" s="6">
        <f ca="1">_xlfn.RANK.EQ(K32, K:K, 1) / COUNT(K:K)</f>
        <v>0.21818181818181817</v>
      </c>
      <c r="M32" s="6"/>
      <c r="N32" s="6">
        <f ca="1">IF(BW32&lt;&gt;0, (AU32 -BW32) / BW32, "N/A")</f>
        <v>1.7814164155627744E-2</v>
      </c>
      <c r="O32" s="2" t="e" vm="739">
        <v>#VALUE!</v>
      </c>
      <c r="P32" s="14" t="s">
        <v>54</v>
      </c>
      <c r="Q32" s="2" t="str">
        <f>P32 &amp; ""</f>
        <v>VOO</v>
      </c>
      <c r="R32" s="14" t="s">
        <v>71</v>
      </c>
      <c r="S32" s="2" t="str" cm="1">
        <f t="array" aca="1" ref="S32" ca="1">_FV(O32,"Name")</f>
        <v>Vanguard 500 Idx;ETF</v>
      </c>
      <c r="T32" s="2" t="str" cm="1">
        <f t="array" aca="1" ref="T32" ca="1">_FV(O32,"Name")</f>
        <v>Vanguard 500 Idx;ETF</v>
      </c>
      <c r="U32" s="2" cm="1" vm="740">
        <f t="array" aca="1" ref="U32:AU32" ca="1">TRANSPOSE(_xlfn.STOCKHISTORY(P32, WORKDAY(TODAY(), -27), TODAY(), 0, 0, 1))</f>
        <v>496.64</v>
      </c>
      <c r="V32" s="2" vm="741">
        <f ca="1"/>
        <v>502.23</v>
      </c>
      <c r="W32" s="2" vm="742">
        <f ca="1"/>
        <v>504.3</v>
      </c>
      <c r="X32" s="2" vm="743">
        <f ca="1"/>
        <v>509.46</v>
      </c>
      <c r="Y32" s="2" vm="744">
        <f ca="1"/>
        <v>513.84</v>
      </c>
      <c r="Z32" s="2" vm="745">
        <f ca="1"/>
        <v>516.57000000000005</v>
      </c>
      <c r="AA32" s="2" vm="746">
        <f ca="1"/>
        <v>517.35</v>
      </c>
      <c r="AB32" s="2" vm="747">
        <f ca="1"/>
        <v>517.59</v>
      </c>
      <c r="AC32" s="2" vm="748">
        <f ca="1"/>
        <v>515.91</v>
      </c>
      <c r="AD32" s="2" vm="749">
        <f ca="1"/>
        <v>524.91</v>
      </c>
      <c r="AE32" s="2" vm="750">
        <f ca="1"/>
        <v>523.88</v>
      </c>
      <c r="AF32" s="2" vm="751">
        <f ca="1"/>
        <v>525.16999999999996</v>
      </c>
      <c r="AG32" s="2" vm="752">
        <f ca="1"/>
        <v>526.67999999999995</v>
      </c>
      <c r="AH32" s="2" vm="753">
        <f ca="1"/>
        <v>525.61</v>
      </c>
      <c r="AI32" s="2" vm="754">
        <f ca="1"/>
        <v>527.70000000000005</v>
      </c>
      <c r="AJ32" s="2" vm="755">
        <f ca="1"/>
        <v>525.38</v>
      </c>
      <c r="AK32" s="2" vm="756">
        <f ca="1"/>
        <v>527.66999999999996</v>
      </c>
      <c r="AL32" s="2" vm="757">
        <f ca="1"/>
        <v>522.74</v>
      </c>
      <c r="AM32" s="2" vm="758">
        <f ca="1"/>
        <v>522.83000000000004</v>
      </c>
      <c r="AN32" s="2" vm="759">
        <f ca="1"/>
        <v>521.84</v>
      </c>
      <c r="AO32" s="2" vm="760">
        <f ca="1"/>
        <v>526.65</v>
      </c>
      <c r="AP32" s="2" vm="761">
        <f ca="1"/>
        <v>521.91</v>
      </c>
      <c r="AQ32" s="2" vm="762">
        <f ca="1"/>
        <v>526.85</v>
      </c>
      <c r="AR32" s="2" vm="763">
        <f ca="1"/>
        <v>530.45000000000005</v>
      </c>
      <c r="AS32" s="2" vm="764">
        <f ca="1"/>
        <v>529.55999999999995</v>
      </c>
      <c r="AT32" s="2" vm="765">
        <f ca="1"/>
        <v>532.71</v>
      </c>
      <c r="AU32" s="2" vm="766">
        <f ca="1"/>
        <v>537.07000000000005</v>
      </c>
      <c r="AV32" s="2">
        <f ca="1">U32/U$4</f>
        <v>0.91909097638611292</v>
      </c>
      <c r="AW32" s="2">
        <f ca="1">V32/V$4</f>
        <v>0.91914496440401905</v>
      </c>
      <c r="AX32" s="2">
        <f ca="1">W32/W$4</f>
        <v>0.91893073853386553</v>
      </c>
      <c r="AY32" s="2">
        <f ca="1">X32/X$4</f>
        <v>0.91890624436347901</v>
      </c>
      <c r="AZ32" s="2">
        <f ca="1">Y32/Y$4</f>
        <v>0.91906490904863258</v>
      </c>
      <c r="BA32" s="2">
        <f ca="1">Z32/Z$4</f>
        <v>0.91914734613263116</v>
      </c>
      <c r="BB32" s="2">
        <f ca="1">AA32/AA$4</f>
        <v>0.9191777414540544</v>
      </c>
      <c r="BC32" s="2">
        <f ca="1">AB32/AB$4</f>
        <v>0.91922851510469383</v>
      </c>
      <c r="BD32" s="2">
        <f ca="1">AC32/AC$4</f>
        <v>0.91897043106519416</v>
      </c>
      <c r="BE32" s="2">
        <f ca="1">AD32/AD$4</f>
        <v>0.91931416161686919</v>
      </c>
      <c r="BF32" s="2">
        <f ca="1">AE32/AE$4</f>
        <v>0.9219181698196216</v>
      </c>
      <c r="BG32" s="2">
        <f ca="1">AF32/AF$4</f>
        <v>0.92188459985605697</v>
      </c>
      <c r="BH32" s="2">
        <f ca="1">AG32/AG$4</f>
        <v>0.92189742692105725</v>
      </c>
      <c r="BI32" s="2">
        <f ca="1">AH32/AH$4</f>
        <v>0.92205810118588183</v>
      </c>
      <c r="BJ32" s="2">
        <f ca="1">AI32/AI$4</f>
        <v>0.92206884501135788</v>
      </c>
      <c r="BK32" s="2">
        <f ca="1">AJ32/AJ$4</f>
        <v>0.91934834724482473</v>
      </c>
      <c r="BL32" s="2">
        <f ca="1">AK32/AK$4</f>
        <v>0.91967024539877296</v>
      </c>
      <c r="BM32" s="2">
        <f ca="1">AL32/AL$4</f>
        <v>0.91931342548626505</v>
      </c>
      <c r="BN32" s="2">
        <f ca="1">AM32/AM$4</f>
        <v>0.9190837815982843</v>
      </c>
      <c r="BO32" s="2">
        <f ca="1">AN32/AN$4</f>
        <v>0.91902363425029054</v>
      </c>
      <c r="BP32" s="2">
        <f ca="1">AO32/AO$4</f>
        <v>0.91914202939020551</v>
      </c>
      <c r="BQ32" s="2">
        <f ca="1">AP32/AP$4</f>
        <v>0.91917928848185981</v>
      </c>
      <c r="BR32" s="2">
        <f ca="1">AQ32/AQ$4</f>
        <v>0.91918627981227219</v>
      </c>
      <c r="BS32" s="2">
        <f ca="1">AR32/AR$4</f>
        <v>0.919101084658835</v>
      </c>
      <c r="BT32" s="2">
        <f ca="1">AS32/AS$4</f>
        <v>0.9191675489906791</v>
      </c>
      <c r="BU32" s="2"/>
      <c r="BV32" s="2">
        <f ca="1">EOMONTH(TODAY(), -1)</f>
        <v>45565</v>
      </c>
      <c r="BW32" s="2" cm="1" vm="756">
        <f t="array" aca="1" ref="BW32" ca="1">_xlfn.STOCKHISTORY(P32,BV32, BV32, 0, 0, 1)</f>
        <v>527.66999999999996</v>
      </c>
      <c r="BX32" s="7">
        <f ca="1">IF(BW32&lt;&gt;0, (AU32 -BW32) / BW32, "N/A")</f>
        <v>1.7814164155627744E-2</v>
      </c>
      <c r="BY32" s="7"/>
      <c r="BZ32" s="7"/>
      <c r="CA32" s="8">
        <f ca="1">TODAY() - WEEKDAY(TODAY(), 2) + 1</f>
        <v>45579</v>
      </c>
      <c r="CB32" s="7" cm="1" vm="766">
        <f t="array" aca="1" ref="CB32" ca="1">IFERROR(_xlfn.STOCKHISTORY(P32, WORKDAY(CA32, 0), WORKDAY(CA32, 0), 0, 0, 1), "N/A")</f>
        <v>537.07000000000005</v>
      </c>
      <c r="CC32" s="9">
        <f ca="1">IF(CB32&lt;&gt;0, (AU32 - CB32) / CB32, "N/A")</f>
        <v>0</v>
      </c>
      <c r="CD32" s="10">
        <f ca="1">TODAY() - WEEKDAY(TODAY(), 2) - 2</f>
        <v>45576</v>
      </c>
      <c r="CE32" s="11" cm="1" vm="765">
        <f t="array" aca="1" ref="CE32" ca="1">IFERROR(_xlfn.STOCKHISTORY(P32, WORKDAY(CD32, 0), WORKDAY(CD32, 0), 0, 0, 1), "N/A")</f>
        <v>532.71</v>
      </c>
      <c r="CF32" s="12">
        <f ca="1">IF(CE32&lt;&gt;0, (AU32 - CE32) / CE32, "N/A")</f>
        <v>8.1845657111749605E-3</v>
      </c>
      <c r="CG32" s="7"/>
      <c r="CH32" s="2"/>
    </row>
    <row r="33" spans="1:116" x14ac:dyDescent="0.4">
      <c r="B33" s="6" t="str">
        <f ca="1">P33 &amp; " - " &amp; S33</f>
        <v>GDX - VanEck:Gold Miners</v>
      </c>
      <c r="C33" s="6"/>
      <c r="D33" s="6" cm="1">
        <f t="array" aca="1" ref="D33" ca="1">_FV(O33,"Änderung (%)",TRUE)</f>
        <v>2.7469999999999999E-3</v>
      </c>
      <c r="E33" s="6">
        <f ca="1">_xlfn.RANK.EQ(D33, D:D, 1) / COUNT(D:D)</f>
        <v>0.50909090909090904</v>
      </c>
      <c r="F33" s="6">
        <f ca="1">PERCENTRANK(AV33:BT33,BT33)</f>
        <v>0.33300000000000002</v>
      </c>
      <c r="G33" s="6">
        <f ca="1">IF(CE33&lt;&gt;0, (AU33 - CE33) / CE33, "N/A")</f>
        <v>2.7465667915105977E-3</v>
      </c>
      <c r="H33" s="6">
        <f ca="1">(AU33/AP33-1)</f>
        <v>2.895208813733019E-2</v>
      </c>
      <c r="I33" s="6">
        <f ca="1">IF(BW33&lt;&gt;0, (AU33 -BW33) / BW33, "N/A")</f>
        <v>8.5384229030636936E-3</v>
      </c>
      <c r="J33" s="6">
        <f ca="1">_xlfn.RANK.EQ(I33, I:I, 1) / COUNT(I:I)</f>
        <v>0.30909090909090908</v>
      </c>
      <c r="K33" s="6">
        <f ca="1">IFERROR((AU33/X33-1), "Error")</f>
        <v>7.4083979673709388E-2</v>
      </c>
      <c r="L33" s="6">
        <f ca="1">_xlfn.RANK.EQ(K33, K:K, 1) / COUNT(K:K)</f>
        <v>0.43636363636363634</v>
      </c>
      <c r="M33" s="6"/>
      <c r="N33" s="6">
        <f ca="1">IF(BW33&lt;&gt;0, (AU33 -BW33) / BW33, "N/A")</f>
        <v>8.5384229030636936E-3</v>
      </c>
      <c r="O33" s="2" t="e" vm="767">
        <v>#VALUE!</v>
      </c>
      <c r="P33" s="14" t="s">
        <v>56</v>
      </c>
      <c r="Q33" s="2" t="str">
        <f>P33 &amp; ""</f>
        <v>GDX</v>
      </c>
      <c r="R33" s="14" t="s">
        <v>71</v>
      </c>
      <c r="S33" s="2" t="str" cm="1">
        <f t="array" aca="1" ref="S33" ca="1">_FV(O33,"Name")</f>
        <v>VanEck:Gold Miners</v>
      </c>
      <c r="T33" s="2" t="str" cm="1">
        <f t="array" aca="1" ref="T33" ca="1">_FV(O33,"Name")</f>
        <v>VanEck:Gold Miners</v>
      </c>
      <c r="U33" s="2" cm="1" vm="768">
        <f t="array" aca="1" ref="U33:AU33" ca="1">TRANSPOSE(_xlfn.STOCKHISTORY(P33, WORKDAY(TODAY(), -27), TODAY(), 0, 0, 1))</f>
        <v>36.32</v>
      </c>
      <c r="V33" s="2" vm="769">
        <f ca="1"/>
        <v>36.76</v>
      </c>
      <c r="W33" s="2" vm="770">
        <f ca="1"/>
        <v>37.22</v>
      </c>
      <c r="X33" s="2" vm="265">
        <f ca="1"/>
        <v>37.39</v>
      </c>
      <c r="Y33" s="2" vm="771">
        <f ca="1"/>
        <v>39.21</v>
      </c>
      <c r="Z33" s="2" vm="772">
        <f ca="1"/>
        <v>40.090000000000003</v>
      </c>
      <c r="AA33" s="2" vm="773">
        <f ca="1"/>
        <v>39.89</v>
      </c>
      <c r="AB33" s="2" vm="774">
        <f ca="1"/>
        <v>39.49</v>
      </c>
      <c r="AC33" s="2" vm="775">
        <f ca="1"/>
        <v>39.06</v>
      </c>
      <c r="AD33" s="2" vm="776">
        <f ca="1"/>
        <v>39.72</v>
      </c>
      <c r="AE33" s="2" vm="777">
        <f ca="1"/>
        <v>40.51</v>
      </c>
      <c r="AF33" s="2" vm="778">
        <f ca="1"/>
        <v>40.33</v>
      </c>
      <c r="AG33" s="2" vm="779">
        <f ca="1"/>
        <v>41.41</v>
      </c>
      <c r="AH33" s="2" vm="780">
        <f ca="1"/>
        <v>41.31</v>
      </c>
      <c r="AI33" s="2" vm="781">
        <f ca="1"/>
        <v>41.64</v>
      </c>
      <c r="AJ33" s="2" vm="782">
        <f ca="1"/>
        <v>40.36</v>
      </c>
      <c r="AK33" s="2" vm="783">
        <f ca="1"/>
        <v>39.82</v>
      </c>
      <c r="AL33" s="2" vm="784">
        <f ca="1"/>
        <v>40.450000000000003</v>
      </c>
      <c r="AM33" s="2" vm="785">
        <f ca="1"/>
        <v>40.369999999999997</v>
      </c>
      <c r="AN33" s="2" vm="786">
        <f ca="1"/>
        <v>39.56</v>
      </c>
      <c r="AO33" s="2" vm="787">
        <f ca="1"/>
        <v>39.549999999999997</v>
      </c>
      <c r="AP33" s="2" vm="788">
        <f ca="1"/>
        <v>39.03</v>
      </c>
      <c r="AQ33" s="2" vm="789">
        <f ca="1"/>
        <v>38.99</v>
      </c>
      <c r="AR33" s="2" vm="790">
        <f ca="1"/>
        <v>38.79</v>
      </c>
      <c r="AS33" s="2" vm="791">
        <f ca="1"/>
        <v>39.869999999999997</v>
      </c>
      <c r="AT33" s="2" vm="792">
        <f ca="1"/>
        <v>40.049999999999997</v>
      </c>
      <c r="AU33" s="2" vm="793">
        <f ca="1"/>
        <v>40.159999999999997</v>
      </c>
      <c r="AV33" s="2">
        <f ca="1">U33/U$4</f>
        <v>6.7214449626175135E-2</v>
      </c>
      <c r="AW33" s="2">
        <f ca="1">V33/V$4</f>
        <v>6.7275489101590383E-2</v>
      </c>
      <c r="AX33" s="2">
        <f ca="1">W33/W$4</f>
        <v>6.7821935530895244E-2</v>
      </c>
      <c r="AY33" s="2">
        <f ca="1">X33/X$4</f>
        <v>6.7439847047364818E-2</v>
      </c>
      <c r="AZ33" s="2">
        <f ca="1">Y33/Y$4</f>
        <v>7.0131821352555038E-2</v>
      </c>
      <c r="BA33" s="2">
        <f ca="1">Z33/Z$4</f>
        <v>7.1333250298037415E-2</v>
      </c>
      <c r="BB33" s="2">
        <f ca="1">AA33/AA$4</f>
        <v>7.0872716935541175E-2</v>
      </c>
      <c r="BC33" s="2">
        <f ca="1">AB33/AB$4</f>
        <v>7.0133375956808214E-2</v>
      </c>
      <c r="BD33" s="2">
        <f ca="1">AC33/AC$4</f>
        <v>6.9576059850374072E-2</v>
      </c>
      <c r="BE33" s="2">
        <f ca="1">AD33/AD$4</f>
        <v>6.9564608217450696E-2</v>
      </c>
      <c r="BF33" s="2">
        <f ca="1">AE33/AE$4</f>
        <v>7.1289045314562247E-2</v>
      </c>
      <c r="BG33" s="2">
        <f ca="1">AF33/AF$4</f>
        <v>7.0795372759667879E-2</v>
      </c>
      <c r="BH33" s="2">
        <f ca="1">AG33/AG$4</f>
        <v>7.2483808856992821E-2</v>
      </c>
      <c r="BI33" s="2">
        <f ca="1">AH33/AH$4</f>
        <v>7.246859869482844E-2</v>
      </c>
      <c r="BJ33" s="2">
        <f ca="1">AI33/AI$4</f>
        <v>7.2759042460248127E-2</v>
      </c>
      <c r="BK33" s="2">
        <f ca="1">AJ33/AJ$4</f>
        <v>7.0624879696222026E-2</v>
      </c>
      <c r="BL33" s="2">
        <f ca="1">AK33/AK$4</f>
        <v>6.9401840490797548E-2</v>
      </c>
      <c r="BM33" s="2">
        <f ca="1">AL33/AL$4</f>
        <v>7.1137139038373612E-2</v>
      </c>
      <c r="BN33" s="2">
        <f ca="1">AM33/AM$4</f>
        <v>7.0966494392293356E-2</v>
      </c>
      <c r="BO33" s="2">
        <f ca="1">AN33/AN$4</f>
        <v>6.9669965834243244E-2</v>
      </c>
      <c r="BP33" s="2">
        <f ca="1">AO33/AO$4</f>
        <v>6.9025096862019616E-2</v>
      </c>
      <c r="BQ33" s="2">
        <f ca="1">AP33/AP$4</f>
        <v>6.8738992603029236E-2</v>
      </c>
      <c r="BR33" s="2">
        <f ca="1">AQ33/AQ$4</f>
        <v>6.8025193223650929E-2</v>
      </c>
      <c r="BS33" s="2">
        <f ca="1">AR33/AR$4</f>
        <v>6.7210728765983996E-2</v>
      </c>
      <c r="BT33" s="2">
        <f ca="1">AS33/AS$4</f>
        <v>6.920313123774148E-2</v>
      </c>
      <c r="BU33" s="2"/>
      <c r="BV33" s="2">
        <f ca="1">EOMONTH(TODAY(), -1)</f>
        <v>45565</v>
      </c>
      <c r="BW33" s="2" cm="1" vm="783">
        <f t="array" aca="1" ref="BW33" ca="1">_xlfn.STOCKHISTORY(P33,BV33, BV33, 0, 0, 1)</f>
        <v>39.82</v>
      </c>
      <c r="BX33" s="7">
        <f ca="1">IF(BW33&lt;&gt;0, (AU33 -BW33) / BW33, "N/A")</f>
        <v>8.5384229030636936E-3</v>
      </c>
      <c r="BY33" s="7"/>
      <c r="BZ33" s="7"/>
      <c r="CA33" s="8">
        <f ca="1">TODAY() - WEEKDAY(TODAY(), 2) + 1</f>
        <v>45579</v>
      </c>
      <c r="CB33" s="7" cm="1" vm="793">
        <f t="array" aca="1" ref="CB33" ca="1">IFERROR(_xlfn.STOCKHISTORY(P33, WORKDAY(CA33, 0), WORKDAY(CA33, 0), 0, 0, 1), "N/A")</f>
        <v>40.159999999999997</v>
      </c>
      <c r="CC33" s="9">
        <f ca="1">IF(CB33&lt;&gt;0, (AU33 - CB33) / CB33, "N/A")</f>
        <v>0</v>
      </c>
      <c r="CD33" s="10">
        <f ca="1">TODAY() - WEEKDAY(TODAY(), 2) - 2</f>
        <v>45576</v>
      </c>
      <c r="CE33" s="11" cm="1" vm="792">
        <f t="array" aca="1" ref="CE33" ca="1">IFERROR(_xlfn.STOCKHISTORY(P33, WORKDAY(CD33, 0), WORKDAY(CD33, 0), 0, 0, 1), "N/A")</f>
        <v>40.049999999999997</v>
      </c>
      <c r="CF33" s="12">
        <f ca="1">IF(CE33&lt;&gt;0, (AU33 - CE33) / CE33, "N/A")</f>
        <v>2.7465667915105977E-3</v>
      </c>
      <c r="CG33" s="7"/>
      <c r="CH33" s="2"/>
    </row>
    <row r="34" spans="1:116" x14ac:dyDescent="0.4">
      <c r="A34" s="1"/>
      <c r="B34" s="6" t="str">
        <f ca="1">P34 &amp; " - " &amp; S34</f>
        <v>JETS - US Global Jets</v>
      </c>
      <c r="C34" s="6"/>
      <c r="D34" s="6" cm="1">
        <f t="array" aca="1" ref="D34" ca="1">_FV(O34,"Änderung (%)",TRUE)</f>
        <v>8.5470000000000008E-3</v>
      </c>
      <c r="E34" s="6">
        <f ca="1">_xlfn.RANK.EQ(D34, D:D, 1) / COUNT(D:D)</f>
        <v>0.76363636363636367</v>
      </c>
      <c r="F34" s="6">
        <f ca="1">PERCENTRANK(AV34:BT34,BT34)</f>
        <v>0.83299999999999996</v>
      </c>
      <c r="G34" s="6">
        <f ca="1">IF(CE34&lt;&gt;0, (AU34 - CE34) / CE34, "N/A")</f>
        <v>8.547008547008534E-3</v>
      </c>
      <c r="H34" s="6">
        <f ca="1">(AU34/AP34-1)</f>
        <v>2.7576197387517931E-2</v>
      </c>
      <c r="I34" s="6">
        <f ca="1">IF(BW34&lt;&gt;0, (AU34 -BW34) / BW34, "N/A")</f>
        <v>2.5096525096525078E-2</v>
      </c>
      <c r="J34" s="6">
        <f ca="1">_xlfn.RANK.EQ(I34, I:I, 1) / COUNT(I:I)</f>
        <v>0.6</v>
      </c>
      <c r="K34" s="6">
        <f ca="1">IFERROR((AU34/X34-1), "Error")</f>
        <v>0.12202852614896975</v>
      </c>
      <c r="L34" s="6">
        <f ca="1">_xlfn.RANK.EQ(K34, K:K, 1) / COUNT(K:K)</f>
        <v>0.81818181818181823</v>
      </c>
      <c r="M34" s="6"/>
      <c r="N34" s="6">
        <f ca="1">IF(BW34&lt;&gt;0, (AU34 -BW34) / BW34, "N/A")</f>
        <v>2.5096525096525078E-2</v>
      </c>
      <c r="O34" s="2" t="e" vm="794">
        <v>#VALUE!</v>
      </c>
      <c r="P34" s="2" t="str" cm="1">
        <f t="array" aca="1" ref="P34" ca="1">_FV(O34,"Ticker-Symbol",TRUE)</f>
        <v>JETS</v>
      </c>
      <c r="Q34" s="2" t="str">
        <f ca="1">P34 &amp; ""</f>
        <v>JETS</v>
      </c>
      <c r="R34" s="14" t="s">
        <v>71</v>
      </c>
      <c r="S34" s="2" t="str" cm="1">
        <f t="array" aca="1" ref="S34" ca="1">_FV(O34,"Name")</f>
        <v>US Global Jets</v>
      </c>
      <c r="T34" s="2" t="str" cm="1">
        <f t="array" aca="1" ref="T34" ca="1">_FV(O34,"Name")</f>
        <v>US Global Jets</v>
      </c>
      <c r="U34" s="2" cm="1" vm="795">
        <f t="array" aca="1" ref="U34:AU34" ca="1">TRANSPOSE(_xlfn.STOCKHISTORY(P34, WORKDAY(TODAY(), -27), TODAY(), 0, 0, 1))</f>
        <v>18.59</v>
      </c>
      <c r="V34" s="2" vm="796">
        <f ca="1"/>
        <v>19.079999999999998</v>
      </c>
      <c r="W34" s="2" vm="797">
        <f ca="1"/>
        <v>18.91</v>
      </c>
      <c r="X34" s="2" vm="798">
        <f ca="1"/>
        <v>18.93</v>
      </c>
      <c r="Y34" s="2" vm="799">
        <f ca="1"/>
        <v>19.190000000000001</v>
      </c>
      <c r="Z34" s="2" vm="800">
        <f ca="1"/>
        <v>19.28</v>
      </c>
      <c r="AA34" s="2" vm="801">
        <f ca="1"/>
        <v>19.309999999999999</v>
      </c>
      <c r="AB34" s="2" vm="802">
        <f ca="1"/>
        <v>19.66</v>
      </c>
      <c r="AC34" s="2" vm="803">
        <f ca="1"/>
        <v>19.68</v>
      </c>
      <c r="AD34" s="2" vm="804">
        <f ca="1"/>
        <v>19.809999999999999</v>
      </c>
      <c r="AE34" s="2" vm="805">
        <f ca="1"/>
        <v>19.79</v>
      </c>
      <c r="AF34" s="2" vm="806">
        <f ca="1"/>
        <v>19.77</v>
      </c>
      <c r="AG34" s="2" vm="807">
        <f ca="1"/>
        <v>20.11</v>
      </c>
      <c r="AH34" s="2" vm="808">
        <f ca="1"/>
        <v>19.89</v>
      </c>
      <c r="AI34" s="2" vm="809">
        <f ca="1"/>
        <v>20.8</v>
      </c>
      <c r="AJ34" s="2" vm="810">
        <f ca="1"/>
        <v>20.84</v>
      </c>
      <c r="AK34" s="2" vm="811">
        <f ca="1"/>
        <v>20.72</v>
      </c>
      <c r="AL34" s="2" vm="812">
        <f ca="1"/>
        <v>20.46</v>
      </c>
      <c r="AM34" s="2" vm="813">
        <f ca="1"/>
        <v>20.22</v>
      </c>
      <c r="AN34" s="2" vm="814">
        <f ca="1"/>
        <v>20.04</v>
      </c>
      <c r="AO34" s="2" vm="815">
        <f ca="1"/>
        <v>20.71</v>
      </c>
      <c r="AP34" s="2" vm="816">
        <f ca="1"/>
        <v>20.67</v>
      </c>
      <c r="AQ34" s="2" vm="817">
        <f ca="1"/>
        <v>20.83</v>
      </c>
      <c r="AR34" s="2" vm="818">
        <f ca="1"/>
        <v>20.77</v>
      </c>
      <c r="AS34" s="2" vm="819">
        <f ca="1"/>
        <v>20.86</v>
      </c>
      <c r="AT34" s="2" vm="820">
        <f ca="1"/>
        <v>21.06</v>
      </c>
      <c r="AU34" s="2" vm="821">
        <f ca="1"/>
        <v>21.24</v>
      </c>
      <c r="AV34" s="2">
        <f ca="1">U34/U$4</f>
        <v>3.4402990598860018E-2</v>
      </c>
      <c r="AW34" s="2">
        <f ca="1">V34/V$4</f>
        <v>3.4918833842718836E-2</v>
      </c>
      <c r="AX34" s="2">
        <f ca="1">W34/W$4</f>
        <v>3.4457624956722978E-2</v>
      </c>
      <c r="AY34" s="2">
        <f ca="1">X34/X$4</f>
        <v>3.4143789906569029E-2</v>
      </c>
      <c r="AZ34" s="2">
        <f ca="1">Y34/Y$4</f>
        <v>3.4323633046557799E-2</v>
      </c>
      <c r="BA34" s="2">
        <f ca="1">Z34/Z$4</f>
        <v>3.4305439404992796E-2</v>
      </c>
      <c r="BB34" s="2">
        <f ca="1">AA34/AA$4</f>
        <v>3.430815151730509E-2</v>
      </c>
      <c r="BC34" s="2">
        <f ca="1">AB34/AB$4</f>
        <v>3.4915729838208391E-2</v>
      </c>
      <c r="BD34" s="2">
        <f ca="1">AC34/AC$4</f>
        <v>3.5055219095119348E-2</v>
      </c>
      <c r="BE34" s="2">
        <f ca="1">AD34/AD$4</f>
        <v>3.46947353672633E-2</v>
      </c>
      <c r="BF34" s="2">
        <f ca="1">AE34/AE$4</f>
        <v>3.4826220853497576E-2</v>
      </c>
      <c r="BG34" s="2">
        <f ca="1">AF34/AF$4</f>
        <v>3.4704302490915793E-2</v>
      </c>
      <c r="BH34" s="2">
        <f ca="1">AG34/AG$4</f>
        <v>3.5200420094521269E-2</v>
      </c>
      <c r="BI34" s="2">
        <f ca="1">AH34/AH$4</f>
        <v>3.4892288260472949E-2</v>
      </c>
      <c r="BJ34" s="2">
        <f ca="1">AI34/AI$4</f>
        <v>3.6344574523851134E-2</v>
      </c>
      <c r="BK34" s="2">
        <f ca="1">AJ34/AJ$4</f>
        <v>3.6467356116681539E-2</v>
      </c>
      <c r="BL34" s="2">
        <f ca="1">AK34/AK$4</f>
        <v>3.611266034578918E-2</v>
      </c>
      <c r="BM34" s="2">
        <f ca="1">AL34/AL$4</f>
        <v>3.5981850796665611E-2</v>
      </c>
      <c r="BN34" s="2">
        <f ca="1">AM34/AM$4</f>
        <v>3.5544773758042394E-2</v>
      </c>
      <c r="BO34" s="2">
        <f ca="1">AN34/AN$4</f>
        <v>3.5292874502483175E-2</v>
      </c>
      <c r="BP34" s="2">
        <f ca="1">AO34/AO$4</f>
        <v>3.6144368040769315E-2</v>
      </c>
      <c r="BQ34" s="2">
        <f ca="1">AP34/AP$4</f>
        <v>3.6403663261711877E-2</v>
      </c>
      <c r="BR34" s="2">
        <f ca="1">AQ34/AQ$4</f>
        <v>3.6341748521381091E-2</v>
      </c>
      <c r="BS34" s="2">
        <f ca="1">AR34/AR$4</f>
        <v>3.5987801919811484E-2</v>
      </c>
      <c r="BT34" s="2">
        <f ca="1">AS34/AS$4</f>
        <v>3.6207106035096248E-2</v>
      </c>
      <c r="BU34" s="2"/>
      <c r="BV34" s="2">
        <f ca="1">EOMONTH(TODAY(), -1)</f>
        <v>45565</v>
      </c>
      <c r="BW34" s="2" cm="1" vm="811">
        <f t="array" aca="1" ref="BW34" ca="1">_xlfn.STOCKHISTORY(P34,BV34, BV34, 0, 0, 1)</f>
        <v>20.72</v>
      </c>
      <c r="BX34" s="7">
        <f ca="1">IF(BW34&lt;&gt;0, (AU34 -BW34) / BW34, "N/A")</f>
        <v>2.5096525096525078E-2</v>
      </c>
      <c r="BY34" s="7"/>
      <c r="BZ34" s="7"/>
      <c r="CA34" s="8">
        <f ca="1">TODAY() - WEEKDAY(TODAY(), 2) + 1</f>
        <v>45579</v>
      </c>
      <c r="CB34" s="7" cm="1" vm="821">
        <f t="array" aca="1" ref="CB34" ca="1">IFERROR(_xlfn.STOCKHISTORY(P34, WORKDAY(CA34, 0), WORKDAY(CA34, 0), 0, 0, 1), "N/A")</f>
        <v>21.24</v>
      </c>
      <c r="CC34" s="9">
        <f ca="1">IF(CB34&lt;&gt;0, (AU34 - CB34) / CB34, "N/A")</f>
        <v>0</v>
      </c>
      <c r="CD34" s="10">
        <f ca="1">TODAY() - WEEKDAY(TODAY(), 2) - 2</f>
        <v>45576</v>
      </c>
      <c r="CE34" s="11" cm="1" vm="820">
        <f t="array" aca="1" ref="CE34" ca="1">IFERROR(_xlfn.STOCKHISTORY(P34, WORKDAY(CD34, 0), WORKDAY(CD34, 0), 0, 0, 1), "N/A")</f>
        <v>21.06</v>
      </c>
      <c r="CF34" s="12">
        <f ca="1">IF(CE34&lt;&gt;0, (AU34 - CE34) / CE34, "N/A")</f>
        <v>8.547008547008534E-3</v>
      </c>
      <c r="CG34" s="7"/>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row>
    <row r="35" spans="1:116" x14ac:dyDescent="0.4">
      <c r="B35" s="6" t="str">
        <f ca="1">P35 &amp; " - " &amp; S35</f>
        <v>VTV - Vanguard Val Idx;ETF</v>
      </c>
      <c r="C35" s="6"/>
      <c r="D35" s="6" cm="1">
        <f t="array" aca="1" ref="D35" ca="1">_FV(O35,"Änderung (%)",TRUE)</f>
        <v>6.2389999999999998E-3</v>
      </c>
      <c r="E35" s="6">
        <f ca="1">_xlfn.RANK.EQ(D35, D:D, 1) / COUNT(D:D)</f>
        <v>0.58181818181818179</v>
      </c>
      <c r="F35" s="6">
        <f ca="1">PERCENTRANK(AV35:BT35,BT35)</f>
        <v>4.1000000000000002E-2</v>
      </c>
      <c r="G35" s="6">
        <f ca="1">IF(CE35&lt;&gt;0, (AU35 - CE35) / CE35, "N/A")</f>
        <v>6.2390108331915051E-3</v>
      </c>
      <c r="H35" s="6">
        <f ca="1">(AU35/AP35-1)</f>
        <v>2.365703075413994E-2</v>
      </c>
      <c r="I35" s="6">
        <f ca="1">IF(BW35&lt;&gt;0, (AU35 -BW35) / BW35, "N/A")</f>
        <v>1.6268545569112697E-2</v>
      </c>
      <c r="J35" s="6">
        <f ca="1">_xlfn.RANK.EQ(I35, I:I, 1) / COUNT(I:I)</f>
        <v>0.38181818181818183</v>
      </c>
      <c r="K35" s="6">
        <f ca="1">IFERROR((AU35/X35-1), "Error")</f>
        <v>4.8584431704001396E-2</v>
      </c>
      <c r="L35" s="6">
        <f ca="1">_xlfn.RANK.EQ(K35, K:K, 1) / COUNT(K:K)</f>
        <v>0.18181818181818182</v>
      </c>
      <c r="M35" s="6"/>
      <c r="N35" s="6">
        <f ca="1">IF(BW35&lt;&gt;0, (AU35 -BW35) / BW35, "N/A")</f>
        <v>1.6268545569112697E-2</v>
      </c>
      <c r="O35" s="2" t="e" vm="822">
        <v>#VALUE!</v>
      </c>
      <c r="P35" s="14" t="s">
        <v>25</v>
      </c>
      <c r="Q35" s="2" t="str">
        <f>P35 &amp; ""</f>
        <v>VTV</v>
      </c>
      <c r="R35" s="14" t="s">
        <v>71</v>
      </c>
      <c r="S35" s="2" t="str" cm="1">
        <f t="array" aca="1" ref="S35" ca="1">_FV(O35,"Name")</f>
        <v>Vanguard Val Idx;ETF</v>
      </c>
      <c r="T35" s="2" t="str" cm="1">
        <f t="array" aca="1" ref="T35" ca="1">_FV(O35,"Name")</f>
        <v>Vanguard Val Idx;ETF</v>
      </c>
      <c r="U35" s="2" cm="1" vm="823">
        <f t="array" aca="1" ref="U35:AU35" ca="1">TRANSPOSE(_xlfn.STOCKHISTORY(P35, WORKDAY(TODAY(), -27), TODAY(), 0, 0, 1))</f>
        <v>167.42</v>
      </c>
      <c r="V35" s="2" vm="824">
        <f ca="1"/>
        <v>169.19</v>
      </c>
      <c r="W35" s="2" vm="825">
        <f ca="1"/>
        <v>169.38</v>
      </c>
      <c r="X35" s="2" vm="824">
        <f ca="1"/>
        <v>169.19</v>
      </c>
      <c r="Y35" s="2" vm="826">
        <f ca="1"/>
        <v>170.21</v>
      </c>
      <c r="Z35" s="2" vm="827">
        <f ca="1"/>
        <v>171.43</v>
      </c>
      <c r="AA35" s="2" vm="828">
        <f ca="1"/>
        <v>172.79</v>
      </c>
      <c r="AB35" s="2" vm="829">
        <f ca="1"/>
        <v>172.72</v>
      </c>
      <c r="AC35" s="2" vm="830">
        <f ca="1"/>
        <v>172.34</v>
      </c>
      <c r="AD35" s="2" vm="831">
        <f ca="1"/>
        <v>173.85</v>
      </c>
      <c r="AE35" s="2" vm="832">
        <f ca="1"/>
        <v>173.69</v>
      </c>
      <c r="AF35" s="2" vm="833">
        <f ca="1"/>
        <v>174.3</v>
      </c>
      <c r="AG35" s="2" vm="834">
        <f ca="1"/>
        <v>174.38</v>
      </c>
      <c r="AH35" s="2" vm="835">
        <f ca="1"/>
        <v>173.34</v>
      </c>
      <c r="AI35" s="2" vm="836">
        <f ca="1"/>
        <v>173.39</v>
      </c>
      <c r="AJ35" s="2" vm="837">
        <f ca="1"/>
        <v>173.95</v>
      </c>
      <c r="AK35" s="2" vm="838">
        <f ca="1"/>
        <v>174.57</v>
      </c>
      <c r="AL35" s="2" vm="839">
        <f ca="1"/>
        <v>174.15</v>
      </c>
      <c r="AM35" s="2" vm="840">
        <f ca="1"/>
        <v>174.03</v>
      </c>
      <c r="AN35" s="2" vm="841">
        <f ca="1"/>
        <v>173.27</v>
      </c>
      <c r="AO35" s="2" vm="842">
        <f ca="1"/>
        <v>174.62</v>
      </c>
      <c r="AP35" s="2" vm="843">
        <f ca="1"/>
        <v>173.31</v>
      </c>
      <c r="AQ35" s="2" vm="844">
        <f ca="1"/>
        <v>173.5</v>
      </c>
      <c r="AR35" s="2" vm="845">
        <f ca="1"/>
        <v>175.02</v>
      </c>
      <c r="AS35" s="2" vm="846">
        <f ca="1"/>
        <v>174.48</v>
      </c>
      <c r="AT35" s="2" vm="847">
        <f ca="1"/>
        <v>176.31</v>
      </c>
      <c r="AU35" s="2" vm="848">
        <f ca="1"/>
        <v>177.41</v>
      </c>
      <c r="AV35" s="2">
        <f ca="1">U35/U$4</f>
        <v>0.30983048338144936</v>
      </c>
      <c r="AW35" s="2">
        <f ca="1">V35/V$4</f>
        <v>0.30963928185794554</v>
      </c>
      <c r="AX35" s="2">
        <f ca="1">W35/W$4</f>
        <v>0.30864265019406334</v>
      </c>
      <c r="AY35" s="2">
        <f ca="1">X35/X$4</f>
        <v>0.30516575881100971</v>
      </c>
      <c r="AZ35" s="2">
        <f ca="1">Y35/Y$4</f>
        <v>0.3044411454327568</v>
      </c>
      <c r="BA35" s="2">
        <f ca="1">Z35/Z$4</f>
        <v>0.30503015960570096</v>
      </c>
      <c r="BB35" s="2">
        <f ca="1">AA35/AA$4</f>
        <v>0.30699665979674506</v>
      </c>
      <c r="BC35" s="2">
        <f ca="1">AB35/AB$4</f>
        <v>0.30674694087768833</v>
      </c>
      <c r="BD35" s="2">
        <f ca="1">AC35/AC$4</f>
        <v>0.30698254364089778</v>
      </c>
      <c r="BE35" s="2">
        <f ca="1">AD35/AD$4</f>
        <v>0.30447651406353987</v>
      </c>
      <c r="BF35" s="2">
        <f ca="1">AE35/AE$4</f>
        <v>0.30565772107347117</v>
      </c>
      <c r="BG35" s="2">
        <f ca="1">AF35/AF$4</f>
        <v>0.30596661224919697</v>
      </c>
      <c r="BH35" s="2">
        <f ca="1">AG35/AG$4</f>
        <v>0.30523367757745495</v>
      </c>
      <c r="BI35" s="2">
        <f ca="1">AH35/AH$4</f>
        <v>0.30408392393516248</v>
      </c>
      <c r="BJ35" s="2">
        <f ca="1">AI35/AI$4</f>
        <v>0.30297047003319938</v>
      </c>
      <c r="BK35" s="2">
        <f ca="1">AJ35/AJ$4</f>
        <v>0.30439043169370217</v>
      </c>
      <c r="BL35" s="2">
        <f ca="1">AK35/AK$4</f>
        <v>0.30425613496932513</v>
      </c>
      <c r="BM35" s="2">
        <f ca="1">AL35/AL$4</f>
        <v>0.30626780626780625</v>
      </c>
      <c r="BN35" s="2">
        <f ca="1">AM35/AM$4</f>
        <v>0.3059276447632106</v>
      </c>
      <c r="BO35" s="2">
        <f ca="1">AN35/AN$4</f>
        <v>0.30514951921383537</v>
      </c>
      <c r="BP35" s="2">
        <f ca="1">AO35/AO$4</f>
        <v>0.30475758316171592</v>
      </c>
      <c r="BQ35" s="2">
        <f ca="1">AP35/AP$4</f>
        <v>0.30523071504050725</v>
      </c>
      <c r="BR35" s="2">
        <f ca="1">AQ35/AQ$4</f>
        <v>0.30270251408831589</v>
      </c>
      <c r="BS35" s="2">
        <f ca="1">AR35/AR$4</f>
        <v>0.30325397650483421</v>
      </c>
      <c r="BT35" s="2">
        <f ca="1">AS35/AS$4</f>
        <v>0.30284831548435248</v>
      </c>
      <c r="BU35" s="2"/>
      <c r="BV35" s="2">
        <f ca="1">EOMONTH(TODAY(), -1)</f>
        <v>45565</v>
      </c>
      <c r="BW35" s="2" cm="1" vm="838">
        <f t="array" aca="1" ref="BW35" ca="1">_xlfn.STOCKHISTORY(P35,BV35, BV35, 0, 0, 1)</f>
        <v>174.57</v>
      </c>
      <c r="BX35" s="7">
        <f ca="1">IF(BW35&lt;&gt;0, (AU35 -BW35) / BW35, "N/A")</f>
        <v>1.6268545569112697E-2</v>
      </c>
      <c r="BY35" s="7"/>
      <c r="BZ35" s="7"/>
      <c r="CA35" s="8">
        <f ca="1">TODAY() - WEEKDAY(TODAY(), 2) + 1</f>
        <v>45579</v>
      </c>
      <c r="CB35" s="7" cm="1" vm="848">
        <f t="array" aca="1" ref="CB35" ca="1">IFERROR(_xlfn.STOCKHISTORY(P35, WORKDAY(CA35, 0), WORKDAY(CA35, 0), 0, 0, 1), "N/A")</f>
        <v>177.41</v>
      </c>
      <c r="CC35" s="9">
        <f ca="1">IF(CB35&lt;&gt;0, (AU35 - CB35) / CB35, "N/A")</f>
        <v>0</v>
      </c>
      <c r="CD35" s="10">
        <f ca="1">TODAY() - WEEKDAY(TODAY(), 2) - 2</f>
        <v>45576</v>
      </c>
      <c r="CE35" s="11" cm="1" vm="847">
        <f t="array" aca="1" ref="CE35" ca="1">IFERROR(_xlfn.STOCKHISTORY(P35, WORKDAY(CD35, 0), WORKDAY(CD35, 0), 0, 0, 1), "N/A")</f>
        <v>176.31</v>
      </c>
      <c r="CF35" s="12">
        <f ca="1">IF(CE35&lt;&gt;0, (AU35 - CE35) / CE35, "N/A")</f>
        <v>6.2390108331915051E-3</v>
      </c>
      <c r="CG35" s="7"/>
      <c r="CH35" s="2"/>
    </row>
    <row r="36" spans="1:116" x14ac:dyDescent="0.4">
      <c r="B36" s="6" t="str">
        <f ca="1">P36 &amp; " - " &amp; S36</f>
        <v>NOBL - ProShares:S&amp;P 500 Dv Art</v>
      </c>
      <c r="C36" s="6"/>
      <c r="D36" s="6" cm="1">
        <f t="array" aca="1" ref="D36" ca="1">_FV(O36,"Änderung (%)",TRUE)</f>
        <v>6.4809999999999998E-3</v>
      </c>
      <c r="E36" s="6">
        <f ca="1">_xlfn.RANK.EQ(D36, D:D, 1) / COUNT(D:D)</f>
        <v>0.6</v>
      </c>
      <c r="F36" s="6">
        <f ca="1">PERCENTRANK(AV36:BT36,BT36)</f>
        <v>0</v>
      </c>
      <c r="G36" s="6">
        <f ca="1">IF(CE36&lt;&gt;0, (AU36 - CE36) / CE36, "N/A")</f>
        <v>7.0442378134685825E-3</v>
      </c>
      <c r="H36" s="6">
        <f ca="1">(AU36/AP36-1)</f>
        <v>2.1726700971983925E-2</v>
      </c>
      <c r="I36" s="6">
        <f ca="1">IF(BW36&lt;&gt;0, (AU36 -BW36) / BW36, "N/A")</f>
        <v>4.3087298613712416E-3</v>
      </c>
      <c r="J36" s="6">
        <f ca="1">_xlfn.RANK.EQ(I36, I:I, 1) / COUNT(I:I)</f>
        <v>0.23636363636363636</v>
      </c>
      <c r="K36" s="6">
        <f ca="1">IFERROR((AU36/X36-1), "Error")</f>
        <v>3.255007704160251E-2</v>
      </c>
      <c r="L36" s="6">
        <f ca="1">_xlfn.RANK.EQ(K36, K:K, 1) / COUNT(K:K)</f>
        <v>0.12727272727272726</v>
      </c>
      <c r="M36" s="6"/>
      <c r="N36" s="6">
        <f ca="1">IF(BW36&lt;&gt;0, (AU36 -BW36) / BW36, "N/A")</f>
        <v>4.3087298613712416E-3</v>
      </c>
      <c r="O36" s="2" t="e" vm="849">
        <v>#VALUE!</v>
      </c>
      <c r="P36" s="14" t="s">
        <v>62</v>
      </c>
      <c r="Q36" s="2" t="str">
        <f>P36 &amp; ""</f>
        <v>NOBL</v>
      </c>
      <c r="R36" s="14" t="s">
        <v>71</v>
      </c>
      <c r="S36" s="2" t="str" cm="1">
        <f t="array" aca="1" ref="S36" ca="1">_FV(O36,"Name")</f>
        <v>ProShares:S&amp;P 500 Dv Art</v>
      </c>
      <c r="T36" s="2" t="str" cm="1">
        <f t="array" aca="1" ref="T36" ca="1">_FV(O36,"Name")</f>
        <v>ProShares:S&amp;P 500 Dv Art</v>
      </c>
      <c r="U36" s="2" cm="1" vm="850">
        <f t="array" aca="1" ref="U36:AU36" ca="1">TRANSPOSE(_xlfn.STOCKHISTORY(P36, WORKDAY(TODAY(), -27), TODAY(), 0, 0, 1))</f>
        <v>102.94</v>
      </c>
      <c r="V36" s="2" vm="851">
        <f ca="1"/>
        <v>104.05</v>
      </c>
      <c r="W36" s="2" vm="852">
        <f ca="1"/>
        <v>104.31</v>
      </c>
      <c r="X36" s="2" vm="853">
        <f ca="1"/>
        <v>103.84</v>
      </c>
      <c r="Y36" s="2" vm="854">
        <f ca="1"/>
        <v>104.42</v>
      </c>
      <c r="Z36" s="2" vm="855">
        <f ca="1"/>
        <v>105.12</v>
      </c>
      <c r="AA36" s="2" vm="856">
        <f ca="1"/>
        <v>105.89</v>
      </c>
      <c r="AB36" s="2" vm="857">
        <f ca="1"/>
        <v>105.68</v>
      </c>
      <c r="AC36" s="2" vm="858">
        <f ca="1"/>
        <v>105.35</v>
      </c>
      <c r="AD36" s="2" vm="859">
        <f ca="1"/>
        <v>105.93</v>
      </c>
      <c r="AE36" s="2" vm="860">
        <f ca="1"/>
        <v>105.5</v>
      </c>
      <c r="AF36" s="2" vm="861">
        <f ca="1"/>
        <v>106.28</v>
      </c>
      <c r="AG36" s="2" vm="862">
        <f ca="1"/>
        <v>106.54</v>
      </c>
      <c r="AH36" s="2" vm="858">
        <f ca="1"/>
        <v>105.35</v>
      </c>
      <c r="AI36" s="2" vm="863">
        <f ca="1"/>
        <v>106.18</v>
      </c>
      <c r="AJ36" s="2" vm="864">
        <f ca="1"/>
        <v>106.56</v>
      </c>
      <c r="AK36" s="2" vm="865">
        <f ca="1"/>
        <v>106.76</v>
      </c>
      <c r="AL36" s="2" vm="866">
        <f ca="1"/>
        <v>106.67</v>
      </c>
      <c r="AM36" s="2" vm="867">
        <f ca="1"/>
        <v>106.3</v>
      </c>
      <c r="AN36" s="2" vm="868">
        <f ca="1"/>
        <v>105.37</v>
      </c>
      <c r="AO36" s="2" vm="869">
        <f ca="1"/>
        <v>105.73</v>
      </c>
      <c r="AP36" s="2" vm="870">
        <f ca="1"/>
        <v>104.94</v>
      </c>
      <c r="AQ36" s="2" vm="871">
        <f ca="1"/>
        <v>105.11</v>
      </c>
      <c r="AR36" s="2" vm="872">
        <f ca="1"/>
        <v>105.66</v>
      </c>
      <c r="AS36" s="2" vm="873">
        <f ca="1"/>
        <v>105.45</v>
      </c>
      <c r="AT36" s="2" vm="874">
        <f ca="1"/>
        <v>106.47</v>
      </c>
      <c r="AU36" s="2" vm="875">
        <f ca="1"/>
        <v>107.22</v>
      </c>
      <c r="AV36" s="2">
        <f ca="1">U36/U$4</f>
        <v>0.19050262787771113</v>
      </c>
      <c r="AW36" s="2">
        <f ca="1">V36/V$4</f>
        <v>0.19042477260665069</v>
      </c>
      <c r="AX36" s="2">
        <f ca="1">W36/W$4</f>
        <v>0.19007270540643964</v>
      </c>
      <c r="AY36" s="2">
        <f ca="1">X36/X$4</f>
        <v>0.18729483063381555</v>
      </c>
      <c r="AZ36" s="2">
        <f ca="1">Y36/Y$4</f>
        <v>0.18676778336224936</v>
      </c>
      <c r="BA36" s="2">
        <f ca="1">Z36/Z$4</f>
        <v>0.18704293517908935</v>
      </c>
      <c r="BB36" s="2">
        <f ca="1">AA36/AA$4</f>
        <v>0.18813517162959276</v>
      </c>
      <c r="BC36" s="2">
        <f ca="1">AB36/AB$4</f>
        <v>0.18768536771626973</v>
      </c>
      <c r="BD36" s="2">
        <f ca="1">AC36/AC$4</f>
        <v>0.18765586034912718</v>
      </c>
      <c r="BE36" s="2">
        <f ca="1">AD36/AD$4</f>
        <v>0.18552313566149428</v>
      </c>
      <c r="BF36" s="2">
        <f ca="1">AE36/AE$4</f>
        <v>0.18565772107347117</v>
      </c>
      <c r="BG36" s="2">
        <f ca="1">AF36/AF$4</f>
        <v>0.18656415117524183</v>
      </c>
      <c r="BH36" s="2">
        <f ca="1">AG36/AG$4</f>
        <v>0.18648695956590236</v>
      </c>
      <c r="BI36" s="2">
        <f ca="1">AH36/AH$4</f>
        <v>0.18481159216897061</v>
      </c>
      <c r="BJ36" s="2">
        <f ca="1">AI36/AI$4</f>
        <v>0.18553206360300545</v>
      </c>
      <c r="BK36" s="2">
        <f ca="1">AJ36/AJ$4</f>
        <v>0.18646648118011444</v>
      </c>
      <c r="BL36" s="2">
        <f ca="1">AK36/AK$4</f>
        <v>0.18607083100948132</v>
      </c>
      <c r="BM36" s="2">
        <f ca="1">AL36/AL$4</f>
        <v>0.18759452710069993</v>
      </c>
      <c r="BN36" s="2">
        <f ca="1">AM36/AM$4</f>
        <v>0.18686495798614772</v>
      </c>
      <c r="BO36" s="2">
        <f ca="1">AN36/AN$4</f>
        <v>0.18556937057518227</v>
      </c>
      <c r="BP36" s="2">
        <f ca="1">AO36/AO$4</f>
        <v>0.18452651052392754</v>
      </c>
      <c r="BQ36" s="2">
        <f ca="1">AP36/AP$4</f>
        <v>0.18481859809792181</v>
      </c>
      <c r="BR36" s="2">
        <f ca="1">AQ36/AQ$4</f>
        <v>0.18338363836209154</v>
      </c>
      <c r="BS36" s="2">
        <f ca="1">AR36/AR$4</f>
        <v>0.18307516373843435</v>
      </c>
      <c r="BT36" s="2">
        <f ca="1">AS36/AS$4</f>
        <v>0.18303160744970753</v>
      </c>
      <c r="BU36" s="2"/>
      <c r="BV36" s="2">
        <f ca="1">EOMONTH(TODAY(), -1)</f>
        <v>45565</v>
      </c>
      <c r="BW36" s="2" cm="1" vm="865">
        <f t="array" aca="1" ref="BW36" ca="1">_xlfn.STOCKHISTORY(P36,BV36, BV36, 0, 0, 1)</f>
        <v>106.76</v>
      </c>
      <c r="BX36" s="7">
        <f ca="1">IF(BW36&lt;&gt;0, (AU36 -BW36) / BW36, "N/A")</f>
        <v>4.3087298613712416E-3</v>
      </c>
      <c r="BY36" s="7"/>
      <c r="BZ36" s="7"/>
      <c r="CA36" s="8">
        <f ca="1">TODAY() - WEEKDAY(TODAY(), 2) + 1</f>
        <v>45579</v>
      </c>
      <c r="CB36" s="7" cm="1" vm="875">
        <f t="array" aca="1" ref="CB36" ca="1">IFERROR(_xlfn.STOCKHISTORY(P36, WORKDAY(CA36, 0), WORKDAY(CA36, 0), 0, 0, 1), "N/A")</f>
        <v>107.22</v>
      </c>
      <c r="CC36" s="9">
        <f ca="1">IF(CB36&lt;&gt;0, (AU36 - CB36) / CB36, "N/A")</f>
        <v>0</v>
      </c>
      <c r="CD36" s="10">
        <f ca="1">TODAY() - WEEKDAY(TODAY(), 2) - 2</f>
        <v>45576</v>
      </c>
      <c r="CE36" s="11" cm="1" vm="874">
        <f t="array" aca="1" ref="CE36" ca="1">IFERROR(_xlfn.STOCKHISTORY(P36, WORKDAY(CD36, 0), WORKDAY(CD36, 0), 0, 0, 1), "N/A")</f>
        <v>106.47</v>
      </c>
      <c r="CF36" s="12">
        <f ca="1">IF(CE36&lt;&gt;0, (AU36 - CE36) / CE36, "N/A")</f>
        <v>7.0442378134685825E-3</v>
      </c>
      <c r="CG36" s="7"/>
      <c r="CH36" s="2"/>
    </row>
    <row r="37" spans="1:116" x14ac:dyDescent="0.4">
      <c r="B37" s="6" t="str">
        <f ca="1">P37 &amp; " - " &amp; S37</f>
        <v>URA - Glbl X Uranium ETF</v>
      </c>
      <c r="C37" s="6"/>
      <c r="D37" s="6" cm="1">
        <f t="array" aca="1" ref="D37" ca="1">_FV(O37,"Änderung (%)",TRUE)</f>
        <v>5.6670000000000002E-3</v>
      </c>
      <c r="E37" s="6">
        <f ca="1">_xlfn.RANK.EQ(D37, D:D, 1) / COUNT(D:D)</f>
        <v>0.5636363636363636</v>
      </c>
      <c r="F37" s="6">
        <f ca="1">PERCENTRANK(AV37:BT37,BT37)</f>
        <v>0.75</v>
      </c>
      <c r="G37" s="6">
        <f ca="1">IF(CE37&lt;&gt;0, (AU37 - CE37) / CE37, "N/A")</f>
        <v>5.6666666666667235E-3</v>
      </c>
      <c r="H37" s="6">
        <f ca="1">(AU37/AP37-1)</f>
        <v>1.0720268006700229E-2</v>
      </c>
      <c r="I37" s="6">
        <f ca="1">IF(BW37&lt;&gt;0, (AU37 -BW37) / BW37, "N/A")</f>
        <v>5.4526389374344716E-2</v>
      </c>
      <c r="J37" s="6">
        <f ca="1">_xlfn.RANK.EQ(I37, I:I, 1) / COUNT(I:I)</f>
        <v>0.90909090909090906</v>
      </c>
      <c r="K37" s="6">
        <f ca="1">IFERROR((AU37/X37-1), "Error")</f>
        <v>0.19060773480662996</v>
      </c>
      <c r="L37" s="6">
        <f ca="1">_xlfn.RANK.EQ(K37, K:K, 1) / COUNT(K:K)</f>
        <v>0.92727272727272725</v>
      </c>
      <c r="M37" s="6"/>
      <c r="N37" s="6">
        <f ca="1">IF(BW37&lt;&gt;0, (AU37 -BW37) / BW37, "N/A")</f>
        <v>5.4526389374344716E-2</v>
      </c>
      <c r="O37" s="2" t="e" vm="876">
        <v>#VALUE!</v>
      </c>
      <c r="P37" s="14" t="s">
        <v>33</v>
      </c>
      <c r="Q37" s="2" t="str">
        <f>P37 &amp; ""</f>
        <v>URA</v>
      </c>
      <c r="R37" s="14" t="s">
        <v>71</v>
      </c>
      <c r="S37" s="2" t="str" cm="1">
        <f t="array" aca="1" ref="S37" ca="1">_FV(O37,"Name")</f>
        <v>Glbl X Uranium ETF</v>
      </c>
      <c r="T37" s="2" t="str" cm="1">
        <f t="array" aca="1" ref="T37" ca="1">_FV(O37,"Name")</f>
        <v>Glbl X Uranium ETF</v>
      </c>
      <c r="U37" s="2" cm="1" vm="877">
        <f t="array" aca="1" ref="U37:AU37" ca="1">TRANSPOSE(_xlfn.STOCKHISTORY(P37, WORKDAY(TODAY(), -27), TODAY(), 0, 0, 1))</f>
        <v>23.18</v>
      </c>
      <c r="V37" s="2" vm="878">
        <f ca="1"/>
        <v>23.59</v>
      </c>
      <c r="W37" s="2" vm="879">
        <f ca="1"/>
        <v>24.1</v>
      </c>
      <c r="X37" s="2" vm="880">
        <f ca="1"/>
        <v>25.34</v>
      </c>
      <c r="Y37" s="2" vm="881">
        <f ca="1"/>
        <v>25.81</v>
      </c>
      <c r="Z37" s="2" vm="882">
        <f ca="1"/>
        <v>25.43</v>
      </c>
      <c r="AA37" s="2" vm="883">
        <f ca="1"/>
        <v>25.61</v>
      </c>
      <c r="AB37" s="2" vm="884">
        <f ca="1"/>
        <v>25.27</v>
      </c>
      <c r="AC37" s="2" vm="885">
        <f ca="1"/>
        <v>25.18</v>
      </c>
      <c r="AD37" s="2" vm="886">
        <f ca="1"/>
        <v>26.1</v>
      </c>
      <c r="AE37" s="2" vm="887">
        <f ca="1"/>
        <v>27.18</v>
      </c>
      <c r="AF37" s="2" vm="888">
        <f ca="1"/>
        <v>28</v>
      </c>
      <c r="AG37" s="2" vm="889">
        <f ca="1"/>
        <v>28.83</v>
      </c>
      <c r="AH37" s="2" vm="890">
        <f ca="1"/>
        <v>28.88</v>
      </c>
      <c r="AI37" s="2" vm="891">
        <f ca="1"/>
        <v>29.14</v>
      </c>
      <c r="AJ37" s="2" vm="892">
        <f ca="1"/>
        <v>29.1</v>
      </c>
      <c r="AK37" s="2" vm="893">
        <f ca="1"/>
        <v>28.61</v>
      </c>
      <c r="AL37" s="2" vm="894">
        <f ca="1"/>
        <v>29.25</v>
      </c>
      <c r="AM37" s="2" vm="895">
        <f ca="1"/>
        <v>29.87</v>
      </c>
      <c r="AN37" s="2" vm="896">
        <f ca="1"/>
        <v>29.66</v>
      </c>
      <c r="AO37" s="2" vm="897">
        <f ca="1"/>
        <v>30.32</v>
      </c>
      <c r="AP37" s="2" vm="898">
        <f ca="1"/>
        <v>29.85</v>
      </c>
      <c r="AQ37" s="2" vm="899">
        <f ca="1"/>
        <v>30</v>
      </c>
      <c r="AR37" s="2" vm="900">
        <f ca="1"/>
        <v>29.46</v>
      </c>
      <c r="AS37" s="2" vm="901">
        <f ca="1"/>
        <v>29.57</v>
      </c>
      <c r="AT37" s="2" vm="899">
        <f ca="1"/>
        <v>30</v>
      </c>
      <c r="AU37" s="2" vm="902">
        <f ca="1"/>
        <v>30.17</v>
      </c>
      <c r="AV37" s="2">
        <f ca="1">U37/U$4</f>
        <v>4.2897327707454289E-2</v>
      </c>
      <c r="AW37" s="2">
        <f ca="1">V37/V$4</f>
        <v>4.3172709137826906E-2</v>
      </c>
      <c r="AX37" s="2">
        <f ca="1">W37/W$4</f>
        <v>4.3914794365786554E-2</v>
      </c>
      <c r="AY37" s="2">
        <f ca="1">X37/X$4</f>
        <v>4.5705421882327478E-2</v>
      </c>
      <c r="AZ37" s="2">
        <f ca="1">Y37/Y$4</f>
        <v>4.6164302706183255E-2</v>
      </c>
      <c r="BA37" s="2">
        <f ca="1">Z37/Z$4</f>
        <v>4.5248305190299105E-2</v>
      </c>
      <c r="BB37" s="2">
        <f ca="1">AA37/AA$4</f>
        <v>4.5501385829010019E-2</v>
      </c>
      <c r="BC37" s="2">
        <f ca="1">AB37/AB$4</f>
        <v>4.4878967091125432E-2</v>
      </c>
      <c r="BD37" s="2">
        <f ca="1">AC37/AC$4</f>
        <v>4.485215532597079E-2</v>
      </c>
      <c r="BE37" s="2">
        <f ca="1">AD37/AD$4</f>
        <v>4.5710883043188905E-2</v>
      </c>
      <c r="BF37" s="2">
        <f ca="1">AE37/AE$4</f>
        <v>4.7831060272767269E-2</v>
      </c>
      <c r="BG37" s="2">
        <f ca="1">AF37/AF$4</f>
        <v>4.9151263011919182E-2</v>
      </c>
      <c r="BH37" s="2">
        <f ca="1">AG37/AG$4</f>
        <v>5.0463854367232629E-2</v>
      </c>
      <c r="BI37" s="2">
        <f ca="1">AH37/AH$4</f>
        <v>5.0663111360606278E-2</v>
      </c>
      <c r="BJ37" s="2">
        <f ca="1">AI37/AI$4</f>
        <v>5.0917351039664514E-2</v>
      </c>
      <c r="BK37" s="2">
        <f ca="1">AJ37/AJ$4</f>
        <v>5.0921308205155127E-2</v>
      </c>
      <c r="BL37" s="2">
        <f ca="1">AK37/AK$4</f>
        <v>4.9864054656999439E-2</v>
      </c>
      <c r="BM37" s="2">
        <f ca="1">AL37/AL$4</f>
        <v>5.1440329218106998E-2</v>
      </c>
      <c r="BN37" s="2">
        <f ca="1">AM37/AM$4</f>
        <v>5.2508525823576978E-2</v>
      </c>
      <c r="BO37" s="2">
        <f ca="1">AN37/AN$4</f>
        <v>5.2234863160860831E-2</v>
      </c>
      <c r="BP37" s="2">
        <f ca="1">AO37/AO$4</f>
        <v>5.2916332158190513E-2</v>
      </c>
      <c r="BQ37" s="2">
        <f ca="1">AP37/AP$4</f>
        <v>5.2571327932370557E-2</v>
      </c>
      <c r="BR37" s="2">
        <f ca="1">AQ37/AQ$4</f>
        <v>5.2340492349564706E-2</v>
      </c>
      <c r="BS37" s="2">
        <f ca="1">AR37/AR$4</f>
        <v>5.1044807152510661E-2</v>
      </c>
      <c r="BT37" s="2">
        <f ca="1">AS37/AS$4</f>
        <v>5.1325221738149379E-2</v>
      </c>
      <c r="BU37" s="2"/>
      <c r="BV37" s="2">
        <f ca="1">EOMONTH(TODAY(), -1)</f>
        <v>45565</v>
      </c>
      <c r="BW37" s="2" cm="1" vm="893">
        <f t="array" aca="1" ref="BW37" ca="1">_xlfn.STOCKHISTORY(P37,BV37, BV37, 0, 0, 1)</f>
        <v>28.61</v>
      </c>
      <c r="BX37" s="7">
        <f ca="1">IF(BW37&lt;&gt;0, (AU37 -BW37) / BW37, "N/A")</f>
        <v>5.4526389374344716E-2</v>
      </c>
      <c r="BY37" s="7"/>
      <c r="BZ37" s="7"/>
      <c r="CA37" s="8">
        <f ca="1">TODAY() - WEEKDAY(TODAY(), 2) + 1</f>
        <v>45579</v>
      </c>
      <c r="CB37" s="7" cm="1" vm="902">
        <f t="array" aca="1" ref="CB37" ca="1">IFERROR(_xlfn.STOCKHISTORY(P37, WORKDAY(CA37, 0), WORKDAY(CA37, 0), 0, 0, 1), "N/A")</f>
        <v>30.17</v>
      </c>
      <c r="CC37" s="9">
        <f ca="1">IF(CB37&lt;&gt;0, (AU37 - CB37) / CB37, "N/A")</f>
        <v>0</v>
      </c>
      <c r="CD37" s="10">
        <f ca="1">TODAY() - WEEKDAY(TODAY(), 2) - 2</f>
        <v>45576</v>
      </c>
      <c r="CE37" s="11" cm="1" vm="899">
        <f t="array" aca="1" ref="CE37" ca="1">IFERROR(_xlfn.STOCKHISTORY(P37, WORKDAY(CD37, 0), WORKDAY(CD37, 0), 0, 0, 1), "N/A")</f>
        <v>30</v>
      </c>
      <c r="CF37" s="12">
        <f ca="1">IF(CE37&lt;&gt;0, (AU37 - CE37) / CE37, "N/A")</f>
        <v>5.6666666666667235E-3</v>
      </c>
      <c r="CG37" s="7"/>
      <c r="CH37" s="2"/>
    </row>
    <row r="38" spans="1:116" x14ac:dyDescent="0.4">
      <c r="B38" s="6" t="str">
        <f ca="1">P38 &amp; " - " &amp; S38</f>
        <v>IDEV - iShares:Cr MSCI Intl DM</v>
      </c>
      <c r="C38" s="6"/>
      <c r="D38" s="6" cm="1">
        <f t="array" aca="1" ref="D38" ca="1">_FV(O38,"Änderung (%)",TRUE)</f>
        <v>2.15E-3</v>
      </c>
      <c r="E38" s="6">
        <f ca="1">_xlfn.RANK.EQ(D38, D:D, 1) / COUNT(D:D)</f>
        <v>0.47272727272727272</v>
      </c>
      <c r="F38" s="6">
        <f ca="1">PERCENTRANK(AV38:BT38,BT38)</f>
        <v>4.1000000000000002E-2</v>
      </c>
      <c r="G38" s="6">
        <f ca="1">IF(CE38&lt;&gt;0, (AU38 - CE38) / CE38, "N/A")</f>
        <v>2.1499211695571977E-3</v>
      </c>
      <c r="H38" s="6">
        <f ca="1">(AU38/AP38-1)</f>
        <v>4.164871463449682E-3</v>
      </c>
      <c r="I38" s="6">
        <f ca="1">IF(BW38&lt;&gt;0, (AU38 -BW38) / BW38, "N/A")</f>
        <v>-1.2847663419454985E-2</v>
      </c>
      <c r="J38" s="6">
        <f ca="1">_xlfn.RANK.EQ(I38, I:I, 1) / COUNT(I:I)</f>
        <v>7.2727272727272724E-2</v>
      </c>
      <c r="K38" s="6">
        <f ca="1">IFERROR((AU38/X38-1), "Error")</f>
        <v>2.5069637883008422E-2</v>
      </c>
      <c r="L38" s="6">
        <f ca="1">_xlfn.RANK.EQ(K38, K:K, 1) / COUNT(K:K)</f>
        <v>0.10909090909090909</v>
      </c>
      <c r="M38" s="6"/>
      <c r="N38" s="6">
        <f ca="1">IF(BW38&lt;&gt;0, (AU38 -BW38) / BW38, "N/A")</f>
        <v>-1.2847663419454985E-2</v>
      </c>
      <c r="O38" s="2" t="e" vm="903">
        <v>#VALUE!</v>
      </c>
      <c r="P38" s="14" t="s">
        <v>66</v>
      </c>
      <c r="Q38" s="2" t="str">
        <f>P38 &amp; ""</f>
        <v>IDEV</v>
      </c>
      <c r="R38" s="14" t="s">
        <v>71</v>
      </c>
      <c r="S38" s="2" t="str" cm="1">
        <f t="array" aca="1" ref="S38" ca="1">_FV(O38,"Name")</f>
        <v>iShares:Cr MSCI Intl DM</v>
      </c>
      <c r="T38" s="2" t="str" cm="1">
        <f t="array" aca="1" ref="T38" ca="1">_FV(O38,"Name")</f>
        <v>iShares:Cr MSCI Intl DM</v>
      </c>
      <c r="U38" s="2" cm="1" vm="904">
        <f t="array" aca="1" ref="U38:AU38" ca="1">TRANSPOSE(_xlfn.STOCKHISTORY(P38, WORKDAY(TODAY(), -27), TODAY(), 0, 0, 1))</f>
        <v>67.400000000000006</v>
      </c>
      <c r="V38" s="2" vm="905">
        <f ca="1"/>
        <v>68.069999999999993</v>
      </c>
      <c r="W38" s="2" vm="906">
        <f ca="1"/>
        <v>67.81</v>
      </c>
      <c r="X38" s="2" vm="907">
        <f ca="1"/>
        <v>68.209999999999994</v>
      </c>
      <c r="Y38" s="2" vm="908">
        <f ca="1"/>
        <v>68.84</v>
      </c>
      <c r="Z38" s="2" vm="909">
        <f ca="1"/>
        <v>69.02</v>
      </c>
      <c r="AA38" s="2" vm="910">
        <f ca="1"/>
        <v>69.569999999999993</v>
      </c>
      <c r="AB38" s="2" vm="911">
        <f ca="1"/>
        <v>69.180000000000007</v>
      </c>
      <c r="AC38" s="2" vm="912">
        <f ca="1"/>
        <v>68.95</v>
      </c>
      <c r="AD38" s="2" vm="913">
        <f ca="1"/>
        <v>70.31</v>
      </c>
      <c r="AE38" s="2" vm="914">
        <f ca="1"/>
        <v>69.66</v>
      </c>
      <c r="AF38" s="2" vm="915">
        <f ca="1"/>
        <v>69.97</v>
      </c>
      <c r="AG38" s="2" vm="916">
        <f ca="1"/>
        <v>70.37</v>
      </c>
      <c r="AH38" s="2" vm="917">
        <f ca="1"/>
        <v>69.98</v>
      </c>
      <c r="AI38" s="2" vm="107">
        <f ca="1"/>
        <v>71.430000000000007</v>
      </c>
      <c r="AJ38" s="2" vm="918">
        <f ca="1"/>
        <v>71.02</v>
      </c>
      <c r="AK38" s="2" vm="919">
        <f ca="1"/>
        <v>70.83</v>
      </c>
      <c r="AL38" s="2" vm="920">
        <f ca="1"/>
        <v>70.42</v>
      </c>
      <c r="AM38" s="2" vm="921">
        <f ca="1"/>
        <v>70.209999999999994</v>
      </c>
      <c r="AN38" s="2" vm="922">
        <f ca="1"/>
        <v>69.599999999999994</v>
      </c>
      <c r="AO38" s="2" vm="923">
        <f ca="1"/>
        <v>70.06</v>
      </c>
      <c r="AP38" s="2" vm="924">
        <f ca="1"/>
        <v>69.63</v>
      </c>
      <c r="AQ38" s="2" vm="925">
        <f ca="1"/>
        <v>69.459999999999994</v>
      </c>
      <c r="AR38" s="2" vm="926">
        <f ca="1"/>
        <v>69.540000000000006</v>
      </c>
      <c r="AS38" s="2" vm="927">
        <f ca="1"/>
        <v>69.44</v>
      </c>
      <c r="AT38" s="2" vm="928">
        <f ca="1"/>
        <v>69.77</v>
      </c>
      <c r="AU38" s="2" vm="929">
        <f ca="1"/>
        <v>69.92</v>
      </c>
      <c r="AV38" s="2">
        <f ca="1">U38/U$4</f>
        <v>0.12473166037456511</v>
      </c>
      <c r="AW38" s="2">
        <f ca="1">V38/V$4</f>
        <v>0.12457678300177522</v>
      </c>
      <c r="AX38" s="2">
        <f ca="1">W38/W$4</f>
        <v>0.12356274713460523</v>
      </c>
      <c r="AY38" s="2">
        <f ca="1">X38/X$4</f>
        <v>0.12302947224126114</v>
      </c>
      <c r="AZ38" s="2">
        <f ca="1">Y38/Y$4</f>
        <v>0.12312865549374877</v>
      </c>
      <c r="BA38" s="2">
        <f ca="1">Z38/Z$4</f>
        <v>0.12280920268322627</v>
      </c>
      <c r="BB38" s="2">
        <f ca="1">AA38/AA$4</f>
        <v>0.12360528747068436</v>
      </c>
      <c r="BC38" s="2">
        <f ca="1">AB38/AB$4</f>
        <v>0.12286216633811071</v>
      </c>
      <c r="BD38" s="2">
        <f ca="1">AC38/AC$4</f>
        <v>0.12281795511221946</v>
      </c>
      <c r="BE38" s="2">
        <f ca="1">AD38/AD$4</f>
        <v>0.12313916424393148</v>
      </c>
      <c r="BF38" s="2">
        <f ca="1">AE38/AE$4</f>
        <v>0.1225868895732512</v>
      </c>
      <c r="BG38" s="2">
        <f ca="1">AF38/AF$4</f>
        <v>0.12282549546228519</v>
      </c>
      <c r="BH38" s="2">
        <f ca="1">AG38/AG$4</f>
        <v>0.12317521442324525</v>
      </c>
      <c r="BI38" s="2">
        <f ca="1">AH38/AH$4</f>
        <v>0.12276331485509791</v>
      </c>
      <c r="BJ38" s="2">
        <f ca="1">AI38/AI$4</f>
        <v>0.124812161453783</v>
      </c>
      <c r="BK38" s="2">
        <f ca="1">AJ38/AJ$4</f>
        <v>0.12427598999072566</v>
      </c>
      <c r="BL38" s="2">
        <f ca="1">AK38/AK$4</f>
        <v>0.12344882877858337</v>
      </c>
      <c r="BM38" s="2">
        <f ca="1">AL38/AL$4</f>
        <v>0.12384369174492632</v>
      </c>
      <c r="BN38" s="2">
        <f ca="1">AM38/AM$4</f>
        <v>0.12342228316281685</v>
      </c>
      <c r="BO38" s="2">
        <f ca="1">AN38/AN$4</f>
        <v>0.1225740551583248</v>
      </c>
      <c r="BP38" s="2">
        <f ca="1">AO38/AO$4</f>
        <v>0.12227302872700618</v>
      </c>
      <c r="BQ38" s="2">
        <f ca="1">AP38/AP$4</f>
        <v>0.12263120817189151</v>
      </c>
      <c r="BR38" s="2">
        <f ca="1">AQ38/AQ$4</f>
        <v>0.12118568662002548</v>
      </c>
      <c r="BS38" s="2">
        <f ca="1">AR38/AR$4</f>
        <v>0.12049069549849258</v>
      </c>
      <c r="BT38" s="2">
        <f ca="1">AS38/AS$4</f>
        <v>0.12052835297589086</v>
      </c>
      <c r="BU38" s="2"/>
      <c r="BV38" s="2">
        <f ca="1">EOMONTH(TODAY(), -1)</f>
        <v>45565</v>
      </c>
      <c r="BW38" s="2" cm="1" vm="919">
        <f t="array" aca="1" ref="BW38" ca="1">_xlfn.STOCKHISTORY(P38,BV38, BV38, 0, 0, 1)</f>
        <v>70.83</v>
      </c>
      <c r="BX38" s="7">
        <f ca="1">IF(BW38&lt;&gt;0, (AU38 -BW38) / BW38, "N/A")</f>
        <v>-1.2847663419454985E-2</v>
      </c>
      <c r="BY38" s="7"/>
      <c r="BZ38" s="7"/>
      <c r="CA38" s="8">
        <f ca="1">TODAY() - WEEKDAY(TODAY(), 2) + 1</f>
        <v>45579</v>
      </c>
      <c r="CB38" s="7" cm="1" vm="929">
        <f t="array" aca="1" ref="CB38" ca="1">IFERROR(_xlfn.STOCKHISTORY(P38, WORKDAY(CA38, 0), WORKDAY(CA38, 0), 0, 0, 1), "N/A")</f>
        <v>69.92</v>
      </c>
      <c r="CC38" s="9">
        <f ca="1">IF(CB38&lt;&gt;0, (AU38 - CB38) / CB38, "N/A")</f>
        <v>0</v>
      </c>
      <c r="CD38" s="10">
        <f ca="1">TODAY() - WEEKDAY(TODAY(), 2) - 2</f>
        <v>45576</v>
      </c>
      <c r="CE38" s="11" cm="1" vm="928">
        <f t="array" aca="1" ref="CE38" ca="1">IFERROR(_xlfn.STOCKHISTORY(P38, WORKDAY(CD38, 0), WORKDAY(CD38, 0), 0, 0, 1), "N/A")</f>
        <v>69.77</v>
      </c>
      <c r="CF38" s="12">
        <f ca="1">IF(CE38&lt;&gt;0, (AU38 - CE38) / CE38, "N/A")</f>
        <v>2.1499211695571977E-3</v>
      </c>
      <c r="CG38" s="7"/>
      <c r="CH38" s="2"/>
    </row>
    <row r="39" spans="1:116" x14ac:dyDescent="0.4">
      <c r="B39" s="6" t="str">
        <f ca="1">P39 &amp; " - " &amp; S39</f>
        <v>GLD - SPDR Gold</v>
      </c>
      <c r="C39" s="6"/>
      <c r="D39" s="6" cm="1">
        <f t="array" aca="1" ref="D39" ca="1">_FV(O39,"Änderung (%)",TRUE)</f>
        <v>-1.6300000000000002E-3</v>
      </c>
      <c r="E39" s="6">
        <f ca="1">_xlfn.RANK.EQ(D39, D:D, 1) / COUNT(D:D)</f>
        <v>0.27272727272727271</v>
      </c>
      <c r="F39" s="6">
        <f ca="1">PERCENTRANK(AV39:BT39,BT39)</f>
        <v>0.16600000000000001</v>
      </c>
      <c r="G39" s="6">
        <f ca="1">IF(CE39&lt;&gt;0, (AU39 - CE39) / CE39, "N/A")</f>
        <v>-1.6295270297796297E-3</v>
      </c>
      <c r="H39" s="6">
        <f ca="1">(AU39/AP39-1)</f>
        <v>3.6859565057132393E-3</v>
      </c>
      <c r="I39" s="6">
        <f ca="1">IF(BW39&lt;&gt;0, (AU39 -BW39) / BW39, "N/A")</f>
        <v>8.2695630708466677E-3</v>
      </c>
      <c r="J39" s="6">
        <f ca="1">_xlfn.RANK.EQ(I39, I:I, 1) / COUNT(I:I)</f>
        <v>0.29090909090909089</v>
      </c>
      <c r="K39" s="6">
        <f ca="1">IFERROR((AU39/X39-1), "Error")</f>
        <v>5.5199138858988084E-2</v>
      </c>
      <c r="L39" s="6">
        <f ca="1">_xlfn.RANK.EQ(K39, K:K, 1) / COUNT(K:K)</f>
        <v>0.23636363636363636</v>
      </c>
      <c r="M39" s="6"/>
      <c r="N39" s="6">
        <f ca="1">IF(BW39&lt;&gt;0, (AU39 -BW39) / BW39, "N/A")</f>
        <v>8.2695630708466677E-3</v>
      </c>
      <c r="O39" s="2" t="e" vm="930">
        <v>#VALUE!</v>
      </c>
      <c r="P39" s="14" t="s">
        <v>60</v>
      </c>
      <c r="Q39" s="2" t="str">
        <f>P39 &amp; ""</f>
        <v>GLD</v>
      </c>
      <c r="R39" s="14" t="s">
        <v>71</v>
      </c>
      <c r="S39" s="2" t="str" cm="1">
        <f t="array" aca="1" ref="S39" ca="1">_FV(O39,"Name")</f>
        <v>SPDR Gold</v>
      </c>
      <c r="T39" s="2" t="str" cm="1">
        <f t="array" aca="1" ref="T39" ca="1">_FV(O39,"Name")</f>
        <v>SPDR Gold</v>
      </c>
      <c r="U39" s="2" cm="1" vm="931">
        <f t="array" aca="1" ref="U39:AU39" ca="1">TRANSPOSE(_xlfn.STOCKHISTORY(P39, WORKDAY(TODAY(), -27), TODAY(), 0, 0, 1))</f>
        <v>230.63</v>
      </c>
      <c r="V39" s="2" vm="932">
        <f ca="1"/>
        <v>231.6</v>
      </c>
      <c r="W39" s="2" vm="933">
        <f ca="1"/>
        <v>232.62</v>
      </c>
      <c r="X39" s="2" vm="934">
        <f ca="1"/>
        <v>232.25</v>
      </c>
      <c r="Y39" s="2" vm="935">
        <f ca="1"/>
        <v>236.33</v>
      </c>
      <c r="Z39" s="2" vm="936">
        <f ca="1"/>
        <v>238.68</v>
      </c>
      <c r="AA39" s="2" vm="937">
        <f ca="1"/>
        <v>238.66</v>
      </c>
      <c r="AB39" s="2" vm="938">
        <f ca="1"/>
        <v>237.34</v>
      </c>
      <c r="AC39" s="2" vm="939">
        <f ca="1"/>
        <v>235.51</v>
      </c>
      <c r="AD39" s="2" vm="940">
        <f ca="1"/>
        <v>239.17</v>
      </c>
      <c r="AE39" s="2" vm="941">
        <f ca="1"/>
        <v>242.21</v>
      </c>
      <c r="AF39" s="2" vm="942">
        <f ca="1"/>
        <v>242.68</v>
      </c>
      <c r="AG39" s="2" vm="943">
        <f ca="1"/>
        <v>246.07</v>
      </c>
      <c r="AH39" s="2" vm="944">
        <f ca="1"/>
        <v>245.73</v>
      </c>
      <c r="AI39" s="2" vm="945">
        <f ca="1"/>
        <v>246.98</v>
      </c>
      <c r="AJ39" s="2" vm="946">
        <f ca="1"/>
        <v>245.02</v>
      </c>
      <c r="AK39" s="2" vm="947">
        <f ca="1"/>
        <v>243.06</v>
      </c>
      <c r="AL39" s="2" vm="948">
        <f ca="1"/>
        <v>245.61</v>
      </c>
      <c r="AM39" s="2" vm="949">
        <f ca="1"/>
        <v>245.66</v>
      </c>
      <c r="AN39" s="2" vm="950">
        <f ca="1"/>
        <v>245.49</v>
      </c>
      <c r="AO39" s="2" vm="951">
        <f ca="1"/>
        <v>245</v>
      </c>
      <c r="AP39" s="2" vm="952">
        <f ca="1"/>
        <v>244.17</v>
      </c>
      <c r="AQ39" s="2" vm="953">
        <f ca="1"/>
        <v>242.37</v>
      </c>
      <c r="AR39" s="2" vm="954">
        <f ca="1"/>
        <v>241.05</v>
      </c>
      <c r="AS39" s="2" vm="955">
        <f ca="1"/>
        <v>242.82</v>
      </c>
      <c r="AT39" s="2" vm="956">
        <f ca="1"/>
        <v>245.47</v>
      </c>
      <c r="AU39" s="2" vm="957">
        <f ca="1"/>
        <v>245.07</v>
      </c>
      <c r="AV39" s="2">
        <f ca="1">U39/U$4</f>
        <v>0.42680805388999926</v>
      </c>
      <c r="AW39" s="2">
        <f ca="1">V39/V$4</f>
        <v>0.42385754287073812</v>
      </c>
      <c r="AX39" s="2">
        <f ca="1">W39/W$4</f>
        <v>0.4238779861149074</v>
      </c>
      <c r="AY39" s="2">
        <f ca="1">X39/X$4</f>
        <v>0.41890624436347901</v>
      </c>
      <c r="AZ39" s="2">
        <f ca="1">Y39/Y$4</f>
        <v>0.42270475236545102</v>
      </c>
      <c r="BA39" s="2">
        <f ca="1">Z39/Z$4</f>
        <v>0.42468995213608302</v>
      </c>
      <c r="BB39" s="2">
        <f ca="1">AA39/AA$4</f>
        <v>0.42402814298912656</v>
      </c>
      <c r="BC39" s="2">
        <f ca="1">AB39/AB$4</f>
        <v>0.42151064698882906</v>
      </c>
      <c r="BD39" s="2">
        <f ca="1">AC39/AC$4</f>
        <v>0.4195048094050588</v>
      </c>
      <c r="BE39" s="2">
        <f ca="1">AD39/AD$4</f>
        <v>0.41887631790955898</v>
      </c>
      <c r="BF39" s="2">
        <f ca="1">AE39/AE$4</f>
        <v>0.42623845138583372</v>
      </c>
      <c r="BG39" s="2">
        <f ca="1">AF39/AF$4</f>
        <v>0.42600101813330526</v>
      </c>
      <c r="BH39" s="2">
        <f ca="1">AG39/AG$4</f>
        <v>0.43071941186767027</v>
      </c>
      <c r="BI39" s="2">
        <f ca="1">AH39/AH$4</f>
        <v>0.43107501227984002</v>
      </c>
      <c r="BJ39" s="2">
        <f ca="1">AI39/AI$4</f>
        <v>0.43155687576445922</v>
      </c>
      <c r="BK39" s="2">
        <f ca="1">AJ39/AJ$4</f>
        <v>0.42875391534113777</v>
      </c>
      <c r="BL39" s="2">
        <f ca="1">AK39/AK$4</f>
        <v>0.42362660345789183</v>
      </c>
      <c r="BM39" s="2">
        <f ca="1">AL39/AL$4</f>
        <v>0.43194048749604308</v>
      </c>
      <c r="BN39" s="2">
        <f ca="1">AM39/AM$4</f>
        <v>0.4318461484372253</v>
      </c>
      <c r="BO39" s="2">
        <f ca="1">AN39/AN$4</f>
        <v>0.43233771265541893</v>
      </c>
      <c r="BP39" s="2">
        <f ca="1">AO39/AO$4</f>
        <v>0.42758909560543124</v>
      </c>
      <c r="BQ39" s="2">
        <f ca="1">AP39/AP$4</f>
        <v>0.43002817893624518</v>
      </c>
      <c r="BR39" s="2">
        <f ca="1">AQ39/AQ$4</f>
        <v>0.42285883769213328</v>
      </c>
      <c r="BS39" s="2">
        <f ca="1">AR39/AR$4</f>
        <v>0.41766295872751846</v>
      </c>
      <c r="BT39" s="2">
        <f ca="1">AS39/AS$4</f>
        <v>0.42146737715446164</v>
      </c>
      <c r="BU39" s="2"/>
      <c r="BV39" s="2">
        <f ca="1">EOMONTH(TODAY(), -1)</f>
        <v>45565</v>
      </c>
      <c r="BW39" s="2" cm="1" vm="947">
        <f t="array" aca="1" ref="BW39" ca="1">_xlfn.STOCKHISTORY(P39,BV39, BV39, 0, 0, 1)</f>
        <v>243.06</v>
      </c>
      <c r="BX39" s="7">
        <f ca="1">IF(BW39&lt;&gt;0, (AU39 -BW39) / BW39, "N/A")</f>
        <v>8.2695630708466677E-3</v>
      </c>
      <c r="BY39" s="7"/>
      <c r="BZ39" s="7"/>
      <c r="CA39" s="8">
        <f ca="1">TODAY() - WEEKDAY(TODAY(), 2) + 1</f>
        <v>45579</v>
      </c>
      <c r="CB39" s="7" cm="1" vm="957">
        <f t="array" aca="1" ref="CB39" ca="1">IFERROR(_xlfn.STOCKHISTORY(P39, WORKDAY(CA39, 0), WORKDAY(CA39, 0), 0, 0, 1), "N/A")</f>
        <v>245.07</v>
      </c>
      <c r="CC39" s="9">
        <f ca="1">IF(CB39&lt;&gt;0, (AU39 - CB39) / CB39, "N/A")</f>
        <v>0</v>
      </c>
      <c r="CD39" s="10">
        <f ca="1">TODAY() - WEEKDAY(TODAY(), 2) - 2</f>
        <v>45576</v>
      </c>
      <c r="CE39" s="11" cm="1" vm="956">
        <f t="array" aca="1" ref="CE39" ca="1">IFERROR(_xlfn.STOCKHISTORY(P39, WORKDAY(CD39, 0), WORKDAY(CD39, 0), 0, 0, 1), "N/A")</f>
        <v>245.47</v>
      </c>
      <c r="CF39" s="12">
        <f ca="1">IF(CE39&lt;&gt;0, (AU39 - CE39) / CE39, "N/A")</f>
        <v>-1.6295270297796297E-3</v>
      </c>
      <c r="CG39" s="7"/>
      <c r="CH39" s="2"/>
    </row>
    <row r="40" spans="1:116" x14ac:dyDescent="0.4">
      <c r="B40" s="6" t="str">
        <f ca="1">P40 &amp; " - " &amp; S40</f>
        <v>IEFA - iShares:Core MSCI EAFE</v>
      </c>
      <c r="C40" s="6"/>
      <c r="D40" s="6" cm="1">
        <f t="array" aca="1" ref="D40" ca="1">_FV(O40,"Änderung (%)",TRUE)</f>
        <v>1.5640000000000001E-3</v>
      </c>
      <c r="E40" s="6">
        <f ca="1">_xlfn.RANK.EQ(D40, D:D, 1) / COUNT(D:D)</f>
        <v>0.41818181818181815</v>
      </c>
      <c r="F40" s="6">
        <f ca="1">PERCENTRANK(AV40:BT40,BT40)</f>
        <v>0</v>
      </c>
      <c r="G40" s="6">
        <f ca="1">IF(CE40&lt;&gt;0, (AU40 - CE40) / CE40, "N/A")</f>
        <v>1.5639254528866198E-3</v>
      </c>
      <c r="H40" s="6">
        <f ca="1">(AU40/AP40-1)</f>
        <v>3.525724732305946E-3</v>
      </c>
      <c r="I40" s="6">
        <f ca="1">IF(BW40&lt;&gt;0, (AU40 -BW40) / BW40, "N/A")</f>
        <v>-1.5374759769378641E-2</v>
      </c>
      <c r="J40" s="6">
        <f ca="1">_xlfn.RANK.EQ(I40, I:I, 1) / COUNT(I:I)</f>
        <v>5.4545454545454543E-2</v>
      </c>
      <c r="K40" s="6">
        <f ca="1">IFERROR((AU40/X40-1), "Error")</f>
        <v>2.2213354615589154E-2</v>
      </c>
      <c r="L40" s="6">
        <f ca="1">_xlfn.RANK.EQ(K40, K:K, 1) / COUNT(K:K)</f>
        <v>7.2727272727272724E-2</v>
      </c>
      <c r="M40" s="6"/>
      <c r="N40" s="6">
        <f ca="1">IF(BW40&lt;&gt;0, (AU40 -BW40) / BW40, "N/A")</f>
        <v>-1.5374759769378641E-2</v>
      </c>
      <c r="O40" s="2" t="e" vm="958">
        <v>#VALUE!</v>
      </c>
      <c r="P40" s="14" t="s">
        <v>67</v>
      </c>
      <c r="Q40" s="2" t="str">
        <f>P40 &amp; ""</f>
        <v>IEFA</v>
      </c>
      <c r="R40" s="14" t="s">
        <v>71</v>
      </c>
      <c r="S40" s="2" t="str" cm="1">
        <f t="array" aca="1" ref="S40" ca="1">_FV(O40,"Name")</f>
        <v>iShares:Core MSCI EAFE</v>
      </c>
      <c r="T40" s="2" t="str" cm="1">
        <f t="array" aca="1" ref="T40" ca="1">_FV(O40,"Name")</f>
        <v>iShares:Core MSCI EAFE</v>
      </c>
      <c r="U40" s="2" cm="1" vm="959">
        <f t="array" aca="1" ref="U40:AU40" ca="1">TRANSPOSE(_xlfn.STOCKHISTORY(P40, WORKDAY(TODAY(), -27), TODAY(), 0, 0, 1))</f>
        <v>74.28</v>
      </c>
      <c r="V40" s="2" vm="960">
        <f ca="1"/>
        <v>75.06</v>
      </c>
      <c r="W40" s="2" vm="961">
        <f ca="1"/>
        <v>74.790000000000006</v>
      </c>
      <c r="X40" s="2" vm="962">
        <f ca="1"/>
        <v>75.180000000000007</v>
      </c>
      <c r="Y40" s="2" vm="963">
        <f ca="1"/>
        <v>75.819999999999993</v>
      </c>
      <c r="Z40" s="2" vm="964">
        <f ca="1"/>
        <v>76.010000000000005</v>
      </c>
      <c r="AA40" s="2" vm="965">
        <f ca="1"/>
        <v>76.63</v>
      </c>
      <c r="AB40" s="2" vm="966">
        <f ca="1"/>
        <v>76.17</v>
      </c>
      <c r="AC40" s="2" vm="967">
        <f ca="1"/>
        <v>75.959999999999994</v>
      </c>
      <c r="AD40" s="2" vm="968">
        <f ca="1"/>
        <v>77.459999999999994</v>
      </c>
      <c r="AE40" s="2" vm="969">
        <f ca="1"/>
        <v>76.7</v>
      </c>
      <c r="AF40" s="2" vm="970">
        <f ca="1"/>
        <v>77.010000000000005</v>
      </c>
      <c r="AG40" s="2" vm="971">
        <f ca="1"/>
        <v>77.42</v>
      </c>
      <c r="AH40" s="2" vm="972">
        <f ca="1"/>
        <v>76.989999999999995</v>
      </c>
      <c r="AI40" s="2" vm="973">
        <f ca="1"/>
        <v>78.739999999999995</v>
      </c>
      <c r="AJ40" s="2" vm="974">
        <f ca="1"/>
        <v>78.25</v>
      </c>
      <c r="AK40" s="2" vm="975">
        <f ca="1"/>
        <v>78.05</v>
      </c>
      <c r="AL40" s="2" vm="971">
        <f ca="1"/>
        <v>77.42</v>
      </c>
      <c r="AM40" s="2" vm="976">
        <f ca="1"/>
        <v>77.25</v>
      </c>
      <c r="AN40" s="2" vm="977">
        <f ca="1"/>
        <v>76.5</v>
      </c>
      <c r="AO40" s="2" vm="978">
        <f ca="1"/>
        <v>77.040000000000006</v>
      </c>
      <c r="AP40" s="2" vm="979">
        <f ca="1"/>
        <v>76.58</v>
      </c>
      <c r="AQ40" s="2" vm="980">
        <f ca="1"/>
        <v>76.39</v>
      </c>
      <c r="AR40" s="2" vm="981">
        <f ca="1"/>
        <v>76.42</v>
      </c>
      <c r="AS40" s="2" vm="982">
        <f ca="1"/>
        <v>76.28</v>
      </c>
      <c r="AT40" s="2" vm="983">
        <f ca="1"/>
        <v>76.73</v>
      </c>
      <c r="AU40" s="2" vm="984">
        <f ca="1"/>
        <v>76.849999999999994</v>
      </c>
      <c r="AV40" s="2">
        <f ca="1">U40/U$4</f>
        <v>0.13746391294692428</v>
      </c>
      <c r="AW40" s="2">
        <f ca="1">V40/V$4</f>
        <v>0.1373693746454128</v>
      </c>
      <c r="AX40" s="2">
        <f ca="1">W40/W$4</f>
        <v>0.13628163778494509</v>
      </c>
      <c r="AY40" s="2">
        <f ca="1">X40/X$4</f>
        <v>0.13560116878900474</v>
      </c>
      <c r="AZ40" s="2">
        <f ca="1">Y40/Y$4</f>
        <v>0.13561322863939615</v>
      </c>
      <c r="BA40" s="2">
        <f ca="1">Z40/Z$4</f>
        <v>0.13524670379530615</v>
      </c>
      <c r="BB40" s="2">
        <f ca="1">AA40/AA$4</f>
        <v>0.13614881671522988</v>
      </c>
      <c r="BC40" s="2">
        <f ca="1">AB40/AB$4</f>
        <v>0.13527625339655813</v>
      </c>
      <c r="BD40" s="2">
        <f ca="1">AC40/AC$4</f>
        <v>0.13530459565372283</v>
      </c>
      <c r="BE40" s="2">
        <f ca="1">AD40/AD$4</f>
        <v>0.13566149427300428</v>
      </c>
      <c r="BF40" s="2">
        <f ca="1">AE40/AE$4</f>
        <v>0.13497580290365158</v>
      </c>
      <c r="BG40" s="2">
        <f ca="1">AF40/AF$4</f>
        <v>0.13518352730528202</v>
      </c>
      <c r="BH40" s="2">
        <f ca="1">AG40/AG$4</f>
        <v>0.13551549098547175</v>
      </c>
      <c r="BI40" s="2">
        <f ca="1">AH40/AH$4</f>
        <v>0.13506069749491265</v>
      </c>
      <c r="BJ40" s="2">
        <f ca="1">AI40/AI$4</f>
        <v>0.13758518259654029</v>
      </c>
      <c r="BK40" s="2">
        <f ca="1">AJ40/AJ$4</f>
        <v>0.13692757275097556</v>
      </c>
      <c r="BL40" s="2">
        <f ca="1">AK40/AK$4</f>
        <v>0.13603248745119911</v>
      </c>
      <c r="BM40" s="2">
        <f ca="1">AL40/AL$4</f>
        <v>0.13615419788259295</v>
      </c>
      <c r="BN40" s="2">
        <f ca="1">AM40/AM$4</f>
        <v>0.13579791161269908</v>
      </c>
      <c r="BO40" s="2">
        <f ca="1">AN40/AN$4</f>
        <v>0.13472579338522769</v>
      </c>
      <c r="BP40" s="2">
        <f ca="1">AO40/AO$4</f>
        <v>0.13445495479772418</v>
      </c>
      <c r="BQ40" s="2">
        <f ca="1">AP40/AP$4</f>
        <v>0.13487143360338147</v>
      </c>
      <c r="BR40" s="2">
        <f ca="1">AQ40/AQ$4</f>
        <v>0.13327634035277494</v>
      </c>
      <c r="BS40" s="2">
        <f ca="1">AR40/AR$4</f>
        <v>0.13241154659181481</v>
      </c>
      <c r="BT40" s="2">
        <f ca="1">AS40/AS$4</f>
        <v>0.13240067345911513</v>
      </c>
      <c r="BU40" s="2"/>
      <c r="BV40" s="2">
        <f ca="1">EOMONTH(TODAY(), -1)</f>
        <v>45565</v>
      </c>
      <c r="BW40" s="2" cm="1" vm="975">
        <f t="array" aca="1" ref="BW40" ca="1">_xlfn.STOCKHISTORY(P40,BV40, BV40, 0, 0, 1)</f>
        <v>78.05</v>
      </c>
      <c r="BX40" s="7">
        <f ca="1">IF(BW40&lt;&gt;0, (AU40 -BW40) / BW40, "N/A")</f>
        <v>-1.5374759769378641E-2</v>
      </c>
      <c r="BY40" s="7"/>
      <c r="BZ40" s="7"/>
      <c r="CA40" s="8">
        <f ca="1">TODAY() - WEEKDAY(TODAY(), 2) + 1</f>
        <v>45579</v>
      </c>
      <c r="CB40" s="7" cm="1" vm="984">
        <f t="array" aca="1" ref="CB40" ca="1">IFERROR(_xlfn.STOCKHISTORY(P40, WORKDAY(CA40, 0), WORKDAY(CA40, 0), 0, 0, 1), "N/A")</f>
        <v>76.849999999999994</v>
      </c>
      <c r="CC40" s="9">
        <f ca="1">IF(CB40&lt;&gt;0, (AU40 - CB40) / CB40, "N/A")</f>
        <v>0</v>
      </c>
      <c r="CD40" s="10">
        <f ca="1">TODAY() - WEEKDAY(TODAY(), 2) - 2</f>
        <v>45576</v>
      </c>
      <c r="CE40" s="11" cm="1" vm="983">
        <f t="array" aca="1" ref="CE40" ca="1">IFERROR(_xlfn.STOCKHISTORY(P40, WORKDAY(CD40, 0), WORKDAY(CD40, 0), 0, 0, 1), "N/A")</f>
        <v>76.73</v>
      </c>
      <c r="CF40" s="12">
        <f ca="1">IF(CE40&lt;&gt;0, (AU40 - CE40) / CE40, "N/A")</f>
        <v>1.5639254528866198E-3</v>
      </c>
      <c r="CG40" s="7"/>
      <c r="CH40" s="2"/>
    </row>
    <row r="41" spans="1:116" x14ac:dyDescent="0.4">
      <c r="B41" s="6" t="str">
        <f ca="1">P41 &amp; " - " &amp; S41</f>
        <v>EWJ - iShares:MSCI Japan</v>
      </c>
      <c r="C41" s="6"/>
      <c r="D41" s="6" cm="1">
        <f t="array" aca="1" ref="D41" ca="1">_FV(O41,"Änderung (%)",TRUE)</f>
        <v>1.689E-3</v>
      </c>
      <c r="E41" s="6">
        <f ca="1">_xlfn.RANK.EQ(D41, D:D, 1) / COUNT(D:D)</f>
        <v>0.45454545454545453</v>
      </c>
      <c r="F41" s="6">
        <f ca="1">PERCENTRANK(AV41:BT41,BT41)</f>
        <v>4.1000000000000002E-2</v>
      </c>
      <c r="G41" s="6">
        <f ca="1">IF(CE41&lt;&gt;0, (AU41 - CE41) / CE41, "N/A")</f>
        <v>1.6889514426460879E-3</v>
      </c>
      <c r="H41" s="6">
        <f ca="1">(AU41/AP41-1)</f>
        <v>1.829954954954971E-3</v>
      </c>
      <c r="I41" s="6">
        <f ca="1">IF(BW41&lt;&gt;0, (AU41 -BW41) / BW41, "N/A")</f>
        <v>-5.1719317864132586E-3</v>
      </c>
      <c r="J41" s="6">
        <f ca="1">_xlfn.RANK.EQ(I41, I:I, 1) / COUNT(I:I)</f>
        <v>0.14545454545454545</v>
      </c>
      <c r="K41" s="6">
        <f ca="1">IFERROR((AU41/X41-1), "Error")</f>
        <v>2.3145485911443275E-2</v>
      </c>
      <c r="L41" s="6">
        <f ca="1">_xlfn.RANK.EQ(K41, K:K, 1) / COUNT(K:K)</f>
        <v>9.0909090909090912E-2</v>
      </c>
      <c r="M41" s="6"/>
      <c r="N41" s="6">
        <f ca="1">IF(BW41&lt;&gt;0, (AU41 -BW41) / BW41, "N/A")</f>
        <v>-5.1719317864132586E-3</v>
      </c>
      <c r="O41" s="2" t="e" vm="985">
        <v>#VALUE!</v>
      </c>
      <c r="P41" s="14" t="s">
        <v>61</v>
      </c>
      <c r="Q41" s="2" t="str">
        <f>P41 &amp; ""</f>
        <v>EWJ</v>
      </c>
      <c r="R41" s="14" t="s">
        <v>71</v>
      </c>
      <c r="S41" s="2" t="str" cm="1">
        <f t="array" aca="1" ref="S41" ca="1">_FV(O41,"Name")</f>
        <v>iShares:MSCI Japan</v>
      </c>
      <c r="T41" s="2" t="str" cm="1">
        <f t="array" aca="1" ref="T41" ca="1">_FV(O41,"Name")</f>
        <v>iShares:MSCI Japan</v>
      </c>
      <c r="U41" s="2" cm="1" vm="986">
        <f t="array" aca="1" ref="U41:AU41" ca="1">TRANSPOSE(_xlfn.STOCKHISTORY(P41, WORKDAY(TODAY(), -27), TODAY(), 0, 0, 1))</f>
        <v>68.09</v>
      </c>
      <c r="V41" s="2" vm="987">
        <f ca="1"/>
        <v>69.33</v>
      </c>
      <c r="W41" s="2" vm="988">
        <f ca="1"/>
        <v>69.14</v>
      </c>
      <c r="X41" s="2" vm="989">
        <f ca="1"/>
        <v>69.56</v>
      </c>
      <c r="Y41" s="2" vm="990">
        <f ca="1"/>
        <v>70.25</v>
      </c>
      <c r="Z41" s="2" vm="991">
        <f ca="1"/>
        <v>69.87</v>
      </c>
      <c r="AA41" s="2" vm="992">
        <f ca="1"/>
        <v>70.540000000000006</v>
      </c>
      <c r="AB41" s="2" vm="993">
        <f ca="1"/>
        <v>69.709999999999994</v>
      </c>
      <c r="AC41" s="2" vm="994">
        <f ca="1"/>
        <v>69.39</v>
      </c>
      <c r="AD41" s="2" vm="995">
        <f ca="1"/>
        <v>71.23</v>
      </c>
      <c r="AE41" s="2" vm="996">
        <f ca="1"/>
        <v>71.27</v>
      </c>
      <c r="AF41" s="2" vm="997">
        <f ca="1"/>
        <v>71.7</v>
      </c>
      <c r="AG41" s="2" vm="998">
        <f ca="1"/>
        <v>71.08</v>
      </c>
      <c r="AH41" s="2" vm="999">
        <f ca="1"/>
        <v>70.95</v>
      </c>
      <c r="AI41" s="2" vm="1000">
        <f ca="1"/>
        <v>72.989999999999995</v>
      </c>
      <c r="AJ41" s="2" vm="998">
        <f ca="1"/>
        <v>71.08</v>
      </c>
      <c r="AK41" s="2" vm="1001">
        <f ca="1"/>
        <v>71.540000000000006</v>
      </c>
      <c r="AL41" s="2" vm="1002">
        <f ca="1"/>
        <v>71.64</v>
      </c>
      <c r="AM41" s="2" vm="995">
        <f ca="1"/>
        <v>71.23</v>
      </c>
      <c r="AN41" s="2" vm="999">
        <f ca="1"/>
        <v>70.95</v>
      </c>
      <c r="AO41" s="2" vm="1003">
        <f ca="1"/>
        <v>71.88</v>
      </c>
      <c r="AP41" s="2" vm="1004">
        <f ca="1"/>
        <v>71.040000000000006</v>
      </c>
      <c r="AQ41" s="2" vm="1005">
        <f ca="1"/>
        <v>71.260000000000005</v>
      </c>
      <c r="AR41" s="2" vm="1006">
        <f ca="1"/>
        <v>70.89</v>
      </c>
      <c r="AS41" s="2" vm="1007">
        <f ca="1"/>
        <v>70.900000000000006</v>
      </c>
      <c r="AT41" s="2" vm="1008">
        <f ca="1"/>
        <v>71.05</v>
      </c>
      <c r="AU41" s="2" vm="1009">
        <f ca="1"/>
        <v>71.17</v>
      </c>
      <c r="AV41" s="2">
        <f ca="1">U41/U$4</f>
        <v>0.12600858686801392</v>
      </c>
      <c r="AW41" s="2">
        <f ca="1">V41/V$4</f>
        <v>0.12688274372723779</v>
      </c>
      <c r="AX41" s="2">
        <f ca="1">W41/W$4</f>
        <v>0.12598626068259261</v>
      </c>
      <c r="AY41" s="2">
        <f ca="1">X41/X$4</f>
        <v>0.12546444933443962</v>
      </c>
      <c r="AZ41" s="2">
        <f ca="1">Y41/Y$4</f>
        <v>0.12565061081400131</v>
      </c>
      <c r="BA41" s="2">
        <f ca="1">Z41/Z$4</f>
        <v>0.12432163128769952</v>
      </c>
      <c r="BB41" s="2">
        <f ca="1">AA41/AA$4</f>
        <v>0.12532869021391516</v>
      </c>
      <c r="BC41" s="2">
        <f ca="1">AB41/AB$4</f>
        <v>0.12380343474168395</v>
      </c>
      <c r="BD41" s="2">
        <f ca="1">AC41/AC$4</f>
        <v>0.12360171001068758</v>
      </c>
      <c r="BE41" s="2">
        <f ca="1">AD41/AD$4</f>
        <v>0.12475042908683316</v>
      </c>
      <c r="BF41" s="2">
        <f ca="1">AE41/AE$4</f>
        <v>0.12542014958205014</v>
      </c>
      <c r="BG41" s="2">
        <f ca="1">AF41/AF$4</f>
        <v>0.12586234135552163</v>
      </c>
      <c r="BH41" s="2">
        <f ca="1">AG41/AG$4</f>
        <v>0.12441799404866095</v>
      </c>
      <c r="BI41" s="2">
        <f ca="1">AH41/AH$4</f>
        <v>0.12446494982808225</v>
      </c>
      <c r="BJ41" s="2">
        <f ca="1">AI41/AI$4</f>
        <v>0.12753800454307182</v>
      </c>
      <c r="BK41" s="2">
        <f ca="1">AJ41/AJ$4</f>
        <v>0.12438098237877752</v>
      </c>
      <c r="BL41" s="2">
        <f ca="1">AK41/AK$4</f>
        <v>0.12468627997769104</v>
      </c>
      <c r="BM41" s="2">
        <f ca="1">AL41/AL$4</f>
        <v>0.12598923710034821</v>
      </c>
      <c r="BN41" s="2">
        <f ca="1">AM41/AM$4</f>
        <v>0.12521534296663503</v>
      </c>
      <c r="BO41" s="2">
        <f ca="1">AN41/AN$4</f>
        <v>0.12495156915924061</v>
      </c>
      <c r="BP41" s="2">
        <f ca="1">AO41/AO$4</f>
        <v>0.12544940486578937</v>
      </c>
      <c r="BQ41" s="2">
        <f ca="1">AP41/AP$4</f>
        <v>0.12511447692849598</v>
      </c>
      <c r="BR41" s="2">
        <f ca="1">AQ41/AQ$4</f>
        <v>0.12432611616099937</v>
      </c>
      <c r="BS41" s="2">
        <f ca="1">AR41/AR$4</f>
        <v>0.12282981598918807</v>
      </c>
      <c r="BT41" s="2">
        <f ca="1">AS41/AS$4</f>
        <v>0.12306250325447382</v>
      </c>
      <c r="BU41" s="2"/>
      <c r="BV41" s="2">
        <f ca="1">EOMONTH(TODAY(), -1)</f>
        <v>45565</v>
      </c>
      <c r="BW41" s="2" cm="1" vm="1001">
        <f t="array" aca="1" ref="BW41" ca="1">_xlfn.STOCKHISTORY(P41,BV41, BV41, 0, 0, 1)</f>
        <v>71.540000000000006</v>
      </c>
      <c r="BX41" s="7">
        <f ca="1">IF(BW41&lt;&gt;0, (AU41 -BW41) / BW41, "N/A")</f>
        <v>-5.1719317864132586E-3</v>
      </c>
      <c r="BY41" s="7"/>
      <c r="BZ41" s="7"/>
      <c r="CA41" s="8">
        <f ca="1">TODAY() - WEEKDAY(TODAY(), 2) + 1</f>
        <v>45579</v>
      </c>
      <c r="CB41" s="7" cm="1" vm="1009">
        <f t="array" aca="1" ref="CB41" ca="1">IFERROR(_xlfn.STOCKHISTORY(P41, WORKDAY(CA41, 0), WORKDAY(CA41, 0), 0, 0, 1), "N/A")</f>
        <v>71.17</v>
      </c>
      <c r="CC41" s="9">
        <f ca="1">IF(CB41&lt;&gt;0, (AU41 - CB41) / CB41, "N/A")</f>
        <v>0</v>
      </c>
      <c r="CD41" s="10">
        <f ca="1">TODAY() - WEEKDAY(TODAY(), 2) - 2</f>
        <v>45576</v>
      </c>
      <c r="CE41" s="11" cm="1" vm="1008">
        <f t="array" aca="1" ref="CE41" ca="1">IFERROR(_xlfn.STOCKHISTORY(P41, WORKDAY(CD41, 0), WORKDAY(CD41, 0), 0, 0, 1), "N/A")</f>
        <v>71.05</v>
      </c>
      <c r="CF41" s="12">
        <f ca="1">IF(CE41&lt;&gt;0, (AU41 - CE41) / CE41, "N/A")</f>
        <v>1.6889514426460879E-3</v>
      </c>
      <c r="CG41" s="7"/>
      <c r="CH41" s="2"/>
    </row>
    <row r="42" spans="1:116" x14ac:dyDescent="0.4">
      <c r="B42" s="6" t="str">
        <f ca="1">P42 &amp; " - " &amp; S42</f>
        <v>TIP - iShares:TIPS Bd ETF</v>
      </c>
      <c r="C42" s="6"/>
      <c r="D42" s="6" cm="1">
        <f t="array" aca="1" ref="D42" ca="1">_FV(O42,"Änderung (%)",TRUE)</f>
        <v>-1.005E-3</v>
      </c>
      <c r="E42" s="6">
        <f ca="1">_xlfn.RANK.EQ(D42, D:D, 1) / COUNT(D:D)</f>
        <v>0.29090909090909089</v>
      </c>
      <c r="F42" s="6">
        <f ca="1">PERCENTRANK(AV42:BT42,BT42)</f>
        <v>4.1000000000000002E-2</v>
      </c>
      <c r="G42" s="6">
        <f ca="1">IF(CE42&lt;&gt;0, (AU42 - CE42) / CE42, "N/A")</f>
        <v>-1.0047497259773421E-3</v>
      </c>
      <c r="H42" s="6">
        <f ca="1">(AU42/AP42-1)</f>
        <v>9.1516427198690131E-4</v>
      </c>
      <c r="I42" s="6">
        <f ca="1">IF(BW42&lt;&gt;0, (AU42 -BW42) / BW42, "N/A")</f>
        <v>-9.9574545125372897E-3</v>
      </c>
      <c r="J42" s="6">
        <f ca="1">_xlfn.RANK.EQ(I42, I:I, 1) / COUNT(I:I)</f>
        <v>9.0909090909090912E-2</v>
      </c>
      <c r="K42" s="6">
        <f ca="1">IFERROR((AU42/X42-1), "Error")</f>
        <v>-6.1790095411176083E-3</v>
      </c>
      <c r="L42" s="6">
        <f ca="1">_xlfn.RANK.EQ(K42, K:K, 1) / COUNT(K:K)</f>
        <v>5.4545454545454543E-2</v>
      </c>
      <c r="M42" s="6"/>
      <c r="N42" s="6">
        <f ca="1">IF(BW42&lt;&gt;0, (AU42 -BW42) / BW42, "N/A")</f>
        <v>-9.9574545125372897E-3</v>
      </c>
      <c r="O42" s="2" t="e" vm="1010">
        <v>#VALUE!</v>
      </c>
      <c r="P42" s="14" t="s">
        <v>69</v>
      </c>
      <c r="Q42" s="2" t="str">
        <f>P42 &amp; ""</f>
        <v>TIP</v>
      </c>
      <c r="R42" s="14" t="s">
        <v>71</v>
      </c>
      <c r="S42" s="2" t="str" cm="1">
        <f t="array" aca="1" ref="S42" ca="1">_FV(O42,"Name")</f>
        <v>iShares:TIPS Bd ETF</v>
      </c>
      <c r="T42" s="2" t="str" cm="1">
        <f t="array" aca="1" ref="T42" ca="1">_FV(O42,"Name")</f>
        <v>iShares:TIPS Bd ETF</v>
      </c>
      <c r="U42" s="2" cm="1" vm="1011">
        <f t="array" aca="1" ref="U42:AU42" ca="1">TRANSPOSE(_xlfn.STOCKHISTORY(P42, WORKDAY(TODAY(), -27), TODAY(), 0, 0, 1))</f>
        <v>109.49</v>
      </c>
      <c r="V42" s="2" vm="1012">
        <f ca="1"/>
        <v>109.74</v>
      </c>
      <c r="W42" s="2" vm="1013">
        <f ca="1"/>
        <v>109.98</v>
      </c>
      <c r="X42" s="2" vm="1014">
        <f ca="1"/>
        <v>110.05</v>
      </c>
      <c r="Y42" s="2" vm="1015">
        <f ca="1"/>
        <v>110.07</v>
      </c>
      <c r="Z42" s="2" vm="1016">
        <f ca="1"/>
        <v>110.44</v>
      </c>
      <c r="AA42" s="2" vm="1017">
        <f ca="1"/>
        <v>110.82</v>
      </c>
      <c r="AB42" s="2" vm="1018">
        <f ca="1"/>
        <v>110.78</v>
      </c>
      <c r="AC42" s="2" vm="1019">
        <f ca="1"/>
        <v>110.37</v>
      </c>
      <c r="AD42" s="2" vm="1020">
        <f ca="1"/>
        <v>110.7</v>
      </c>
      <c r="AE42" s="2" vm="1021">
        <f ca="1"/>
        <v>110.55</v>
      </c>
      <c r="AF42" s="2" vm="1022">
        <f ca="1"/>
        <v>110.56</v>
      </c>
      <c r="AG42" s="2" vm="1023">
        <f ca="1"/>
        <v>110.83</v>
      </c>
      <c r="AH42" s="2" vm="1024">
        <f ca="1"/>
        <v>110.41</v>
      </c>
      <c r="AI42" s="2" vm="1025">
        <f ca="1"/>
        <v>110.27</v>
      </c>
      <c r="AJ42" s="2" vm="1026">
        <f ca="1"/>
        <v>110.54</v>
      </c>
      <c r="AK42" s="2" vm="1027">
        <f ca="1"/>
        <v>110.47</v>
      </c>
      <c r="AL42" s="2" vm="1028">
        <f ca="1"/>
        <v>110.71</v>
      </c>
      <c r="AM42" s="2" vm="1029">
        <f ca="1"/>
        <v>110.61</v>
      </c>
      <c r="AN42" s="2" vm="1030">
        <f ca="1"/>
        <v>110.14</v>
      </c>
      <c r="AO42" s="2" vm="1031">
        <f ca="1"/>
        <v>109.39</v>
      </c>
      <c r="AP42" s="2" vm="1032">
        <f ca="1"/>
        <v>109.27</v>
      </c>
      <c r="AQ42" s="2" vm="1033">
        <f ca="1"/>
        <v>109.45</v>
      </c>
      <c r="AR42" s="2" vm="1034">
        <f ca="1"/>
        <v>109.25</v>
      </c>
      <c r="AS42" s="2" vm="1035">
        <f ca="1"/>
        <v>109.47</v>
      </c>
      <c r="AT42" s="2" vm="1036">
        <f ca="1"/>
        <v>109.48</v>
      </c>
      <c r="AU42" s="2" vm="1037">
        <f ca="1"/>
        <v>109.37</v>
      </c>
      <c r="AV42" s="2">
        <f ca="1">U42/U$4</f>
        <v>0.20262417647494263</v>
      </c>
      <c r="AW42" s="2">
        <f ca="1">V42/V$4</f>
        <v>0.20083819842243006</v>
      </c>
      <c r="AX42" s="2">
        <f ca="1">W42/W$4</f>
        <v>0.20040452632154379</v>
      </c>
      <c r="AY42" s="2">
        <f ca="1">X42/X$4</f>
        <v>0.19849572526243642</v>
      </c>
      <c r="AZ42" s="2">
        <f ca="1">Y42/Y$4</f>
        <v>0.19687349085120462</v>
      </c>
      <c r="BA42" s="2">
        <f ca="1">Z42/Z$4</f>
        <v>0.1965089589153218</v>
      </c>
      <c r="BB42" s="2">
        <f ca="1">AA42/AA$4</f>
        <v>0.1968943216544666</v>
      </c>
      <c r="BC42" s="2">
        <f ca="1">AB42/AB$4</f>
        <v>0.19674285612801248</v>
      </c>
      <c r="BD42" s="2">
        <f ca="1">AC42/AC$4</f>
        <v>0.19659779123619525</v>
      </c>
      <c r="BE42" s="2">
        <f ca="1">AD42/AD$4</f>
        <v>0.19387719359697361</v>
      </c>
      <c r="BF42" s="2">
        <f ca="1">AE42/AE$4</f>
        <v>0.19454465464144302</v>
      </c>
      <c r="BG42" s="2">
        <f ca="1">AF42/AF$4</f>
        <v>0.19407727280706374</v>
      </c>
      <c r="BH42" s="2">
        <f ca="1">AG42/AG$4</f>
        <v>0.19399614913355506</v>
      </c>
      <c r="BI42" s="2">
        <f ca="1">AH42/AH$4</f>
        <v>0.19368816223422919</v>
      </c>
      <c r="BJ42" s="2">
        <f ca="1">AI42/AI$4</f>
        <v>0.19267866503582037</v>
      </c>
      <c r="BK42" s="2">
        <f ca="1">AJ42/AJ$4</f>
        <v>0.19343097625422156</v>
      </c>
      <c r="BL42" s="2">
        <f ca="1">AK42/AK$4</f>
        <v>0.19253694924707196</v>
      </c>
      <c r="BM42" s="2">
        <f ca="1">AL42/AL$4</f>
        <v>0.19469944778586754</v>
      </c>
      <c r="BN42" s="2">
        <f ca="1">AM42/AM$4</f>
        <v>0.1944415146081637</v>
      </c>
      <c r="BO42" s="2">
        <f ca="1">AN42/AN$4</f>
        <v>0.1939699200450847</v>
      </c>
      <c r="BP42" s="2">
        <f ca="1">AO42/AO$4</f>
        <v>0.19091416803378827</v>
      </c>
      <c r="BQ42" s="2">
        <f ca="1">AP42/AP$4</f>
        <v>0.19244452271926735</v>
      </c>
      <c r="BR42" s="2">
        <f ca="1">AQ42/AQ$4</f>
        <v>0.19095556292199523</v>
      </c>
      <c r="BS42" s="2">
        <f ca="1">AR42/AR$4</f>
        <v>0.18929549156183942</v>
      </c>
      <c r="BT42" s="2">
        <f ca="1">AS42/AS$4</f>
        <v>0.19000919931265514</v>
      </c>
      <c r="BU42" s="2"/>
      <c r="BV42" s="2">
        <f ca="1">EOMONTH(TODAY(), -1)</f>
        <v>45565</v>
      </c>
      <c r="BW42" s="2" cm="1" vm="1027">
        <f t="array" aca="1" ref="BW42" ca="1">_xlfn.STOCKHISTORY(P42,BV42, BV42, 0, 0, 1)</f>
        <v>110.47</v>
      </c>
      <c r="BX42" s="7">
        <f ca="1">IF(BW42&lt;&gt;0, (AU42 -BW42) / BW42, "N/A")</f>
        <v>-9.9574545125372897E-3</v>
      </c>
      <c r="BY42" s="7"/>
      <c r="BZ42" s="7"/>
      <c r="CA42" s="8">
        <f ca="1">TODAY() - WEEKDAY(TODAY(), 2) + 1</f>
        <v>45579</v>
      </c>
      <c r="CB42" s="7" cm="1" vm="1037">
        <f t="array" aca="1" ref="CB42" ca="1">IFERROR(_xlfn.STOCKHISTORY(P42, WORKDAY(CA42, 0), WORKDAY(CA42, 0), 0, 0, 1), "N/A")</f>
        <v>109.37</v>
      </c>
      <c r="CC42" s="9">
        <f ca="1">IF(CB42&lt;&gt;0, (AU42 - CB42) / CB42, "N/A")</f>
        <v>0</v>
      </c>
      <c r="CD42" s="10">
        <f ca="1">TODAY() - WEEKDAY(TODAY(), 2) - 2</f>
        <v>45576</v>
      </c>
      <c r="CE42" s="11" cm="1" vm="1036">
        <f t="array" aca="1" ref="CE42" ca="1">IFERROR(_xlfn.STOCKHISTORY(P42, WORKDAY(CD42, 0), WORKDAY(CD42, 0), 0, 0, 1), "N/A")</f>
        <v>109.48</v>
      </c>
      <c r="CF42" s="12">
        <f ca="1">IF(CE42&lt;&gt;0, (AU42 - CE42) / CE42, "N/A")</f>
        <v>-1.0047497259773421E-3</v>
      </c>
      <c r="CG42" s="7"/>
      <c r="CH42" s="2"/>
    </row>
    <row r="43" spans="1:116" x14ac:dyDescent="0.4">
      <c r="B43" s="6" t="str">
        <f ca="1">P43 &amp; " - " &amp; S43</f>
        <v>AGG - iShares:Core US Agg Bd</v>
      </c>
      <c r="C43" s="6"/>
      <c r="D43" s="6" cm="1">
        <f t="array" aca="1" ref="D43" ca="1">_FV(O43,"Änderung (%)",TRUE)</f>
        <v>-9.0450000000000003E-4</v>
      </c>
      <c r="E43" s="6">
        <f ca="1">_xlfn.RANK.EQ(D43, D:D, 1) / COUNT(D:D)</f>
        <v>0.30909090909090908</v>
      </c>
      <c r="F43" s="6">
        <f ca="1">PERCENTRANK(AV43:BT43,BT43)</f>
        <v>4.1000000000000002E-2</v>
      </c>
      <c r="G43" s="6">
        <f ca="1">IF(CE43&lt;&gt;0, (AU43 - CE43) / CE43, "N/A")</f>
        <v>-9.045226130653609E-4</v>
      </c>
      <c r="H43" s="6">
        <f ca="1">(AU43/AP43-1)</f>
        <v>-2.1080104396707933E-3</v>
      </c>
      <c r="I43" s="6">
        <f ca="1">IF(BW43&lt;&gt;0, (AU43 -BW43) / BW43, "N/A")</f>
        <v>-1.8366742371877156E-2</v>
      </c>
      <c r="J43" s="6">
        <f ca="1">_xlfn.RANK.EQ(I43, I:I, 1) / COUNT(I:I)</f>
        <v>3.6363636363636362E-2</v>
      </c>
      <c r="K43" s="6">
        <f ca="1">IFERROR((AU43/X43-1), "Error")</f>
        <v>-2.1747687463097853E-2</v>
      </c>
      <c r="L43" s="6">
        <f ca="1">_xlfn.RANK.EQ(K43, K:K, 1) / COUNT(K:K)</f>
        <v>3.6363636363636362E-2</v>
      </c>
      <c r="M43" s="6"/>
      <c r="N43" s="6">
        <f ca="1">IF(BW43&lt;&gt;0, (AU43 -BW43) / BW43, "N/A")</f>
        <v>-1.8366742371877156E-2</v>
      </c>
      <c r="O43" s="2" t="e" vm="1038">
        <v>#VALUE!</v>
      </c>
      <c r="P43" s="14" t="s">
        <v>65</v>
      </c>
      <c r="Q43" s="2" t="str">
        <f>P43 &amp; ""</f>
        <v>AGG</v>
      </c>
      <c r="R43" s="14" t="s">
        <v>71</v>
      </c>
      <c r="S43" s="2" t="str" cm="1">
        <f t="array" aca="1" ref="S43" ca="1">_FV(O43,"Name")</f>
        <v>iShares:Core US Agg Bd</v>
      </c>
      <c r="T43" s="2" t="str" cm="1">
        <f t="array" aca="1" ref="T43" ca="1">_FV(O43,"Name")</f>
        <v>iShares:Core US Agg Bd</v>
      </c>
      <c r="U43" s="2" cm="1" vm="1039">
        <f t="array" aca="1" ref="U43:AU43" ca="1">TRANSPOSE(_xlfn.STOCKHISTORY(P43, WORKDAY(TODAY(), -27), TODAY(), 0, 0, 1))</f>
        <v>101.19</v>
      </c>
      <c r="V43" s="2" vm="1040">
        <f ca="1"/>
        <v>101.34</v>
      </c>
      <c r="W43" s="2" vm="1041">
        <f ca="1"/>
        <v>101.65</v>
      </c>
      <c r="X43" s="2" vm="1042">
        <f ca="1"/>
        <v>101.62</v>
      </c>
      <c r="Y43" s="2" vm="1043">
        <f ca="1"/>
        <v>101.53</v>
      </c>
      <c r="Z43" s="2" vm="1044">
        <f ca="1"/>
        <v>101.74</v>
      </c>
      <c r="AA43" s="2" vm="1045">
        <f ca="1"/>
        <v>101.98</v>
      </c>
      <c r="AB43" s="2" vm="1046">
        <f ca="1"/>
        <v>101.88</v>
      </c>
      <c r="AC43" s="2" vm="1047">
        <f ca="1"/>
        <v>101.56</v>
      </c>
      <c r="AD43" s="2" vm="1048">
        <f ca="1"/>
        <v>101.57</v>
      </c>
      <c r="AE43" s="2" vm="1049">
        <f ca="1"/>
        <v>101.48</v>
      </c>
      <c r="AF43" s="2" vm="1050">
        <f ca="1"/>
        <v>101.44</v>
      </c>
      <c r="AG43" s="2" vm="1051">
        <f ca="1"/>
        <v>101.58</v>
      </c>
      <c r="AH43" s="2" vm="1039">
        <f ca="1"/>
        <v>101.19</v>
      </c>
      <c r="AI43" s="2" vm="1052">
        <f ca="1"/>
        <v>101.21</v>
      </c>
      <c r="AJ43" s="2" vm="1053">
        <f ca="1"/>
        <v>101.5</v>
      </c>
      <c r="AK43" s="2" vm="1054">
        <f ca="1"/>
        <v>101.27</v>
      </c>
      <c r="AL43" s="2" vm="1055">
        <f ca="1"/>
        <v>101.23</v>
      </c>
      <c r="AM43" s="2" vm="1056">
        <f ca="1"/>
        <v>101.02</v>
      </c>
      <c r="AN43" s="2" vm="1057">
        <f ca="1"/>
        <v>100.61</v>
      </c>
      <c r="AO43" s="2" vm="1058">
        <f ca="1"/>
        <v>99.96</v>
      </c>
      <c r="AP43" s="2" vm="1059">
        <f ca="1"/>
        <v>99.62</v>
      </c>
      <c r="AQ43" s="2" vm="1060">
        <f ca="1"/>
        <v>99.79</v>
      </c>
      <c r="AR43" s="2" vm="1061">
        <f ca="1"/>
        <v>99.53</v>
      </c>
      <c r="AS43" s="2" vm="1062">
        <f ca="1"/>
        <v>99.47</v>
      </c>
      <c r="AT43" s="2" vm="1063">
        <f ca="1"/>
        <v>99.5</v>
      </c>
      <c r="AU43" s="2" vm="1064">
        <f ca="1"/>
        <v>99.41</v>
      </c>
      <c r="AV43" s="2">
        <f ca="1">U43/U$4</f>
        <v>0.18726404619142792</v>
      </c>
      <c r="AW43" s="2">
        <f ca="1">V43/V$4</f>
        <v>0.1854651269193463</v>
      </c>
      <c r="AX43" s="2">
        <f ca="1">W43/W$4</f>
        <v>0.18522567831046485</v>
      </c>
      <c r="AY43" s="2">
        <f ca="1">X43/X$4</f>
        <v>0.18329064608058873</v>
      </c>
      <c r="AZ43" s="2">
        <f ca="1">Y43/Y$4</f>
        <v>0.18159866926612889</v>
      </c>
      <c r="BA43" s="2">
        <f ca="1">Z43/Z$4</f>
        <v>0.18102880731659579</v>
      </c>
      <c r="BB43" s="2">
        <f ca="1">AA43/AA$4</f>
        <v>0.18118825954089973</v>
      </c>
      <c r="BC43" s="2">
        <f ca="1">AB43/AB$4</f>
        <v>0.18093665086046137</v>
      </c>
      <c r="BD43" s="2">
        <f ca="1">AC43/AC$4</f>
        <v>0.18090488065550411</v>
      </c>
      <c r="BE43" s="2">
        <f ca="1">AD43/AD$4</f>
        <v>0.1778871414060037</v>
      </c>
      <c r="BF43" s="2">
        <f ca="1">AE43/AE$4</f>
        <v>0.17858336999560054</v>
      </c>
      <c r="BG43" s="2">
        <f ca="1">AF43/AF$4</f>
        <v>0.17806800428318151</v>
      </c>
      <c r="BH43" s="2">
        <f ca="1">AG43/AG$4</f>
        <v>0.17780500612637845</v>
      </c>
      <c r="BI43" s="2">
        <f ca="1">AH43/AH$4</f>
        <v>0.17751385867658412</v>
      </c>
      <c r="BJ43" s="2">
        <f ca="1">AI43/AI$4</f>
        <v>0.17684780709418138</v>
      </c>
      <c r="BK43" s="2">
        <f ca="1">AJ43/AJ$4</f>
        <v>0.17761212312107372</v>
      </c>
      <c r="BL43" s="2">
        <f ca="1">AK43/AK$4</f>
        <v>0.17650237032905744</v>
      </c>
      <c r="BM43" s="2">
        <f ca="1">AL43/AL$4</f>
        <v>0.17802750518799901</v>
      </c>
      <c r="BN43" s="2">
        <f ca="1">AM43/AM$4</f>
        <v>0.17758323664873607</v>
      </c>
      <c r="BO43" s="2">
        <f ca="1">AN43/AN$4</f>
        <v>0.17718643232010142</v>
      </c>
      <c r="BP43" s="2">
        <f ca="1">AO43/AO$4</f>
        <v>0.17445635100701593</v>
      </c>
      <c r="BQ43" s="2">
        <f ca="1">AP43/AP$4</f>
        <v>0.17544910179640721</v>
      </c>
      <c r="BR43" s="2">
        <f ca="1">AQ43/AQ$4</f>
        <v>0.1741019243854354</v>
      </c>
      <c r="BS43" s="2">
        <f ca="1">AR43/AR$4</f>
        <v>0.17245382402883183</v>
      </c>
      <c r="BT43" s="2">
        <f ca="1">AS43/AS$4</f>
        <v>0.17265200562373076</v>
      </c>
      <c r="BU43" s="2"/>
      <c r="BV43" s="2">
        <f ca="1">EOMONTH(TODAY(), -1)</f>
        <v>45565</v>
      </c>
      <c r="BW43" s="2" cm="1" vm="1054">
        <f t="array" aca="1" ref="BW43" ca="1">_xlfn.STOCKHISTORY(P43,BV43, BV43, 0, 0, 1)</f>
        <v>101.27</v>
      </c>
      <c r="BX43" s="7">
        <f ca="1">IF(BW43&lt;&gt;0, (AU43 -BW43) / BW43, "N/A")</f>
        <v>-1.8366742371877156E-2</v>
      </c>
      <c r="BY43" s="7"/>
      <c r="BZ43" s="7"/>
      <c r="CA43" s="8">
        <f ca="1">TODAY() - WEEKDAY(TODAY(), 2) + 1</f>
        <v>45579</v>
      </c>
      <c r="CB43" s="7" cm="1" vm="1064">
        <f t="array" aca="1" ref="CB43" ca="1">IFERROR(_xlfn.STOCKHISTORY(P43, WORKDAY(CA43, 0), WORKDAY(CA43, 0), 0, 0, 1), "N/A")</f>
        <v>99.41</v>
      </c>
      <c r="CC43" s="9">
        <f ca="1">IF(CB43&lt;&gt;0, (AU43 - CB43) / CB43, "N/A")</f>
        <v>0</v>
      </c>
      <c r="CD43" s="10">
        <f ca="1">TODAY() - WEEKDAY(TODAY(), 2) - 2</f>
        <v>45576</v>
      </c>
      <c r="CE43" s="11" cm="1" vm="1063">
        <f t="array" aca="1" ref="CE43" ca="1">IFERROR(_xlfn.STOCKHISTORY(P43, WORKDAY(CD43, 0), WORKDAY(CD43, 0), 0, 0, 1), "N/A")</f>
        <v>99.5</v>
      </c>
      <c r="CF43" s="12">
        <f ca="1">IF(CE43&lt;&gt;0, (AU43 - CE43) / CE43, "N/A")</f>
        <v>-9.045226130653609E-4</v>
      </c>
      <c r="CG43" s="7"/>
      <c r="CH43" s="2"/>
    </row>
    <row r="44" spans="1:116" ht="14.6" customHeight="1" x14ac:dyDescent="0.4">
      <c r="B44" s="6" t="str">
        <f ca="1">P44 &amp; " - " &amp; S44</f>
        <v>IEF - iShares:7-10 Trs Bd</v>
      </c>
      <c r="C44" s="6"/>
      <c r="D44" s="6" cm="1">
        <f t="array" aca="1" ref="D44" ca="1">_FV(O44,"Änderung (%)",TRUE)</f>
        <v>-1.7730000000000001E-3</v>
      </c>
      <c r="E44" s="6">
        <f ca="1">_xlfn.RANK.EQ(D44, D:D, 1) / COUNT(D:D)</f>
        <v>0.25454545454545452</v>
      </c>
      <c r="F44" s="6">
        <f ca="1">PERCENTRANK(AV44:BT44,BT44)</f>
        <v>4.1000000000000002E-2</v>
      </c>
      <c r="G44" s="6">
        <f ca="1">IF(CE44&lt;&gt;0, (AU44 - CE44) / CE44, "N/A")</f>
        <v>-1.7734195702065691E-3</v>
      </c>
      <c r="H44" s="6">
        <f ca="1">(AU44/AP44-1)</f>
        <v>-4.4735746982939029E-3</v>
      </c>
      <c r="I44" s="6">
        <f ca="1">IF(BW44&lt;&gt;0, (AU44 -BW44) / BW44, "N/A")</f>
        <v>-2.4765593151243444E-2</v>
      </c>
      <c r="J44" s="6">
        <f ca="1">_xlfn.RANK.EQ(I44, I:I, 1) / COUNT(I:I)</f>
        <v>1.8181818181818181E-2</v>
      </c>
      <c r="K44" s="6">
        <f ca="1">IFERROR((AU44/X44-1), "Error")</f>
        <v>-3.1967627718765823E-2</v>
      </c>
      <c r="L44" s="6">
        <f ca="1">_xlfn.RANK.EQ(K44, K:K, 1) / COUNT(K:K)</f>
        <v>1.8181818181818181E-2</v>
      </c>
      <c r="M44" s="6"/>
      <c r="N44" s="6">
        <f ca="1">IF(BW44&lt;&gt;0, (AU44 -BW44) / BW44, "N/A")</f>
        <v>-2.4765593151243444E-2</v>
      </c>
      <c r="O44" s="2" t="e" vm="1065">
        <v>#VALUE!</v>
      </c>
      <c r="P44" s="14" t="s">
        <v>68</v>
      </c>
      <c r="Q44" s="2" t="str">
        <f>P44 &amp; ""</f>
        <v>IEF</v>
      </c>
      <c r="R44" s="14" t="s">
        <v>71</v>
      </c>
      <c r="S44" s="2" t="str" cm="1">
        <f t="array" aca="1" ref="S44" ca="1">_FV(O44,"Name")</f>
        <v>iShares:7-10 Trs Bd</v>
      </c>
      <c r="T44" s="2" t="str" cm="1">
        <f t="array" aca="1" ref="T44" ca="1">_FV(O44,"Name")</f>
        <v>iShares:7-10 Trs Bd</v>
      </c>
      <c r="U44" s="2" cm="1" vm="1066">
        <f t="array" aca="1" ref="U44:AU44" ca="1">TRANSPOSE(_xlfn.STOCKHISTORY(P44, WORKDAY(TODAY(), -27), TODAY(), 0, 0, 1))</f>
        <v>98.36</v>
      </c>
      <c r="V44" s="2" vm="1067">
        <f ca="1"/>
        <v>98.5</v>
      </c>
      <c r="W44" s="2" vm="1068">
        <f ca="1"/>
        <v>98.92</v>
      </c>
      <c r="X44" s="2" vm="1069">
        <f ca="1"/>
        <v>98.85</v>
      </c>
      <c r="Y44" s="2" vm="492">
        <f ca="1"/>
        <v>98.69</v>
      </c>
      <c r="Z44" s="2" vm="1070">
        <f ca="1"/>
        <v>98.88</v>
      </c>
      <c r="AA44" s="2" vm="1071">
        <f ca="1"/>
        <v>99.14</v>
      </c>
      <c r="AB44" s="2" vm="1072">
        <f ca="1"/>
        <v>98.96</v>
      </c>
      <c r="AC44" s="2" vm="1073">
        <f ca="1"/>
        <v>98.53</v>
      </c>
      <c r="AD44" s="2" vm="1074">
        <f ca="1"/>
        <v>98.45</v>
      </c>
      <c r="AE44" s="2" vm="1075">
        <f ca="1"/>
        <v>98.42</v>
      </c>
      <c r="AF44" s="2" vm="1066">
        <f ca="1"/>
        <v>98.36</v>
      </c>
      <c r="AG44" s="2" vm="1076">
        <f ca="1"/>
        <v>98.47</v>
      </c>
      <c r="AH44" s="2" vm="1077">
        <f ca="1"/>
        <v>98.07</v>
      </c>
      <c r="AI44" s="2" vm="1078">
        <f ca="1"/>
        <v>98</v>
      </c>
      <c r="AJ44" s="2" vm="1079">
        <f ca="1"/>
        <v>98.39</v>
      </c>
      <c r="AK44" s="2" vm="1080">
        <f ca="1"/>
        <v>98.12</v>
      </c>
      <c r="AL44" s="2" vm="1081">
        <f ca="1"/>
        <v>98.19</v>
      </c>
      <c r="AM44" s="2" vm="1082">
        <f ca="1"/>
        <v>97.91</v>
      </c>
      <c r="AN44" s="2" vm="1083">
        <f ca="1"/>
        <v>97.41</v>
      </c>
      <c r="AO44" s="2" vm="1084">
        <f ca="1"/>
        <v>96.47</v>
      </c>
      <c r="AP44" s="2" vm="1085">
        <f ca="1"/>
        <v>96.12</v>
      </c>
      <c r="AQ44" s="2" vm="1086">
        <f ca="1"/>
        <v>96.2</v>
      </c>
      <c r="AR44" s="2" vm="1087">
        <f ca="1"/>
        <v>95.84</v>
      </c>
      <c r="AS44" s="2" vm="1088">
        <f ca="1"/>
        <v>95.83</v>
      </c>
      <c r="AT44" s="2" vm="1089">
        <f ca="1"/>
        <v>95.86</v>
      </c>
      <c r="AU44" s="2" vm="1090">
        <f ca="1"/>
        <v>95.69</v>
      </c>
      <c r="AV44" s="2">
        <f ca="1">U44/U$4</f>
        <v>0.18202679695018137</v>
      </c>
      <c r="AW44" s="2">
        <f ca="1">V44/V$4</f>
        <v>0.18026756464925606</v>
      </c>
      <c r="AX44" s="2">
        <f ca="1">W44/W$4</f>
        <v>0.18025109786985916</v>
      </c>
      <c r="AY44" s="2">
        <f ca="1">X44/X$4</f>
        <v>0.17829443382273366</v>
      </c>
      <c r="AZ44" s="2">
        <f ca="1">Y44/Y$4</f>
        <v>0.17651898620973366</v>
      </c>
      <c r="BA44" s="2">
        <f ca="1">Z44/Z$4</f>
        <v>0.17593992989448587</v>
      </c>
      <c r="BB44" s="2">
        <f ca="1">AA44/AA$4</f>
        <v>0.1761424205813375</v>
      </c>
      <c r="BC44" s="2">
        <f ca="1">AB44/AB$4</f>
        <v>0.17575079475020866</v>
      </c>
      <c r="BD44" s="2">
        <f ca="1">AC44/AC$4</f>
        <v>0.17550765942287141</v>
      </c>
      <c r="BE44" s="2">
        <f ca="1">AD44/AD$4</f>
        <v>0.17242285193877194</v>
      </c>
      <c r="BF44" s="2">
        <f ca="1">AE44/AE$4</f>
        <v>0.17319841619005719</v>
      </c>
      <c r="BG44" s="2">
        <f ca="1">AF44/AF$4</f>
        <v>0.17266136535187041</v>
      </c>
      <c r="BH44" s="2">
        <f ca="1">AG44/AG$4</f>
        <v>0.17236128128828987</v>
      </c>
      <c r="BI44" s="2">
        <f ca="1">AH44/AH$4</f>
        <v>0.17204055855729422</v>
      </c>
      <c r="BJ44" s="2">
        <f ca="1">AI44/AI$4</f>
        <v>0.17123886073737551</v>
      </c>
      <c r="BK44" s="2">
        <f ca="1">AJ44/AJ$4</f>
        <v>0.17217001767371864</v>
      </c>
      <c r="BL44" s="2">
        <f ca="1">AK44/AK$4</f>
        <v>0.17101226993865032</v>
      </c>
      <c r="BM44" s="2">
        <f ca="1">AL44/AL$4</f>
        <v>0.17268122823678378</v>
      </c>
      <c r="BN44" s="2">
        <f ca="1">AM44/AM$4</f>
        <v>0.17211616214885911</v>
      </c>
      <c r="BO44" s="2">
        <f ca="1">AN44/AN$4</f>
        <v>0.17155084357718994</v>
      </c>
      <c r="BP44" s="2">
        <f ca="1">AO44/AO$4</f>
        <v>0.16836538797165695</v>
      </c>
      <c r="BQ44" s="2">
        <f ca="1">AP44/AP$4</f>
        <v>0.16928495949277916</v>
      </c>
      <c r="BR44" s="2">
        <f ca="1">AQ44/AQ$4</f>
        <v>0.16783851213427084</v>
      </c>
      <c r="BS44" s="2">
        <f ca="1">AR44/AR$4</f>
        <v>0.16606022802093082</v>
      </c>
      <c r="BT44" s="2">
        <f ca="1">AS44/AS$4</f>
        <v>0.16633398712096228</v>
      </c>
      <c r="BU44" s="2"/>
      <c r="BV44" s="2">
        <f ca="1">EOMONTH(TODAY(), -1)</f>
        <v>45565</v>
      </c>
      <c r="BW44" s="2" cm="1" vm="1080">
        <f t="array" aca="1" ref="BW44" ca="1">_xlfn.STOCKHISTORY(P44,BV44, BV44, 0, 0, 1)</f>
        <v>98.12</v>
      </c>
      <c r="BX44" s="7">
        <f ca="1">IF(BW44&lt;&gt;0, (AU44 -BW44) / BW44, "N/A")</f>
        <v>-2.4765593151243444E-2</v>
      </c>
      <c r="BY44" s="7"/>
      <c r="BZ44" s="7"/>
      <c r="CA44" s="8">
        <f ca="1">TODAY() - WEEKDAY(TODAY(), 2) + 1</f>
        <v>45579</v>
      </c>
      <c r="CB44" s="7" cm="1" vm="1090">
        <f t="array" aca="1" ref="CB44" ca="1">IFERROR(_xlfn.STOCKHISTORY(P44, WORKDAY(CA44, 0), WORKDAY(CA44, 0), 0, 0, 1), "N/A")</f>
        <v>95.69</v>
      </c>
      <c r="CC44" s="9">
        <f ca="1">IF(CB44&lt;&gt;0, (AU44 - CB44) / CB44, "N/A")</f>
        <v>0</v>
      </c>
      <c r="CD44" s="10">
        <f ca="1">TODAY() - WEEKDAY(TODAY(), 2) - 2</f>
        <v>45576</v>
      </c>
      <c r="CE44" s="11" cm="1" vm="1089">
        <f t="array" aca="1" ref="CE44" ca="1">IFERROR(_xlfn.STOCKHISTORY(P44, WORKDAY(CD44, 0), WORKDAY(CD44, 0), 0, 0, 1), "N/A")</f>
        <v>95.86</v>
      </c>
      <c r="CF44" s="12">
        <f ca="1">IF(CE44&lt;&gt;0, (AU44 - CE44) / CE44, "N/A")</f>
        <v>-1.7734195702065691E-3</v>
      </c>
      <c r="CG44" s="7"/>
      <c r="CH44" s="2"/>
    </row>
    <row r="45" spans="1:116" x14ac:dyDescent="0.4">
      <c r="B45" s="6" t="str">
        <f ca="1">P45 &amp; " - " &amp; S45</f>
        <v>VXUS - Vanguard Tot I S;ETF</v>
      </c>
      <c r="C45" s="6"/>
      <c r="D45" s="6" cm="1">
        <f t="array" aca="1" ref="D45" ca="1">_FV(O45,"Änderung (%)",TRUE)</f>
        <v>5.4589999999999999E-4</v>
      </c>
      <c r="E45" s="6">
        <f ca="1">_xlfn.RANK.EQ(D45, D:D, 1) / COUNT(D:D)</f>
        <v>0.34545454545454546</v>
      </c>
      <c r="F45" s="6">
        <f ca="1">PERCENTRANK(AV45:BT45,BT45)</f>
        <v>4.1000000000000002E-2</v>
      </c>
      <c r="G45" s="6">
        <f ca="1">IF(CE45&lt;&gt;0, (AU45 - CE45) / CE45, "N/A")</f>
        <v>5.4593667134607065E-4</v>
      </c>
      <c r="H45" s="6">
        <f ca="1">(AU45/AP45-1)</f>
        <v>-5.1954094292805397E-3</v>
      </c>
      <c r="I45" s="6">
        <f ca="1">IF(BW45&lt;&gt;0, (AU45 -BW45) / BW45, "N/A")</f>
        <v>-9.1906085881989334E-3</v>
      </c>
      <c r="J45" s="6">
        <f ca="1">_xlfn.RANK.EQ(I45, I:I, 1) / COUNT(I:I)</f>
        <v>0.10909090909090909</v>
      </c>
      <c r="K45" s="6">
        <f ca="1">IFERROR((AU45/X45-1), "Error")</f>
        <v>3.7105901374292483E-2</v>
      </c>
      <c r="L45" s="6">
        <f ca="1">_xlfn.RANK.EQ(K45, K:K, 1) / COUNT(K:K)</f>
        <v>0.14545454545454545</v>
      </c>
      <c r="M45" s="6"/>
      <c r="N45" s="6">
        <f ca="1">IF(BW45&lt;&gt;0, (AU45 -BW45) / BW45, "N/A")</f>
        <v>-9.1906085881989334E-3</v>
      </c>
      <c r="O45" s="2" t="e" vm="1091">
        <v>#VALUE!</v>
      </c>
      <c r="P45" s="14" t="s">
        <v>64</v>
      </c>
      <c r="Q45" s="2" t="str">
        <f>P45 &amp; ""</f>
        <v>VXUS</v>
      </c>
      <c r="R45" s="14" t="s">
        <v>71</v>
      </c>
      <c r="S45" s="2" t="str" cm="1">
        <f t="array" aca="1" ref="S45" ca="1">_FV(O45,"Name")</f>
        <v>Vanguard Tot I S;ETF</v>
      </c>
      <c r="T45" s="2" t="str" cm="1">
        <f t="array" aca="1" ref="T45" ca="1">_FV(O45,"Name")</f>
        <v>Vanguard Tot I S;ETF</v>
      </c>
      <c r="U45" s="2" cm="1" vm="1092">
        <f t="array" aca="1" ref="U45:AU45" ca="1">TRANSPOSE(_xlfn.STOCKHISTORY(P45, WORKDAY(TODAY(), -27), TODAY(), 0, 0, 1))</f>
        <v>61.12</v>
      </c>
      <c r="V45" s="2" vm="1093">
        <f ca="1"/>
        <v>61.75</v>
      </c>
      <c r="W45" s="2" vm="1094">
        <f ca="1"/>
        <v>61.5</v>
      </c>
      <c r="X45" s="2" vm="1095">
        <f ca="1"/>
        <v>61.85</v>
      </c>
      <c r="Y45" s="2" vm="1096">
        <f ca="1"/>
        <v>62.41</v>
      </c>
      <c r="Z45" s="2" vm="137">
        <f ca="1"/>
        <v>62.58</v>
      </c>
      <c r="AA45" s="2" vm="1097">
        <f ca="1"/>
        <v>62.99</v>
      </c>
      <c r="AB45" s="2" vm="1098">
        <f ca="1"/>
        <v>62.79</v>
      </c>
      <c r="AC45" s="2" vm="137">
        <f ca="1"/>
        <v>62.58</v>
      </c>
      <c r="AD45" s="2" vm="1099">
        <f ca="1"/>
        <v>63.8</v>
      </c>
      <c r="AE45" s="2" vm="1100">
        <f ca="1"/>
        <v>63.08</v>
      </c>
      <c r="AF45" s="2" vm="1101">
        <f ca="1"/>
        <v>63.41</v>
      </c>
      <c r="AG45" s="2" vm="1102">
        <f ca="1"/>
        <v>64.290000000000006</v>
      </c>
      <c r="AH45" s="2" vm="1099">
        <f ca="1"/>
        <v>63.8</v>
      </c>
      <c r="AI45" s="2" vm="1103">
        <f ca="1"/>
        <v>65.37</v>
      </c>
      <c r="AJ45" s="2" vm="1104">
        <f ca="1"/>
        <v>65.08</v>
      </c>
      <c r="AK45" s="2" vm="1105">
        <f ca="1"/>
        <v>64.739999999999995</v>
      </c>
      <c r="AL45" s="2" vm="1106">
        <f ca="1"/>
        <v>64.569999999999993</v>
      </c>
      <c r="AM45" s="2" vm="1107">
        <f ca="1"/>
        <v>64.8</v>
      </c>
      <c r="AN45" s="2" vm="1108">
        <f ca="1"/>
        <v>64.12</v>
      </c>
      <c r="AO45" s="2" vm="1109">
        <f ca="1"/>
        <v>64.61</v>
      </c>
      <c r="AP45" s="2" vm="1110">
        <f ca="1"/>
        <v>64.48</v>
      </c>
      <c r="AQ45" s="2" vm="1111">
        <f ca="1"/>
        <v>63.87</v>
      </c>
      <c r="AR45" s="2" vm="1099">
        <f ca="1"/>
        <v>63.8</v>
      </c>
      <c r="AS45" s="2" vm="1112">
        <f ca="1"/>
        <v>63.74</v>
      </c>
      <c r="AT45" s="2" vm="1113">
        <f ca="1"/>
        <v>64.11</v>
      </c>
      <c r="AU45" s="2" vm="1114">
        <f ca="1"/>
        <v>64.144999999999996</v>
      </c>
      <c r="AV45" s="2">
        <f ca="1">U45/U$4</f>
        <v>0.11310977866607447</v>
      </c>
      <c r="AW45" s="2">
        <f ca="1">V45/V$4</f>
        <v>0.11301037682326459</v>
      </c>
      <c r="AX45" s="2">
        <f ca="1">W45/W$4</f>
        <v>0.112064724211447</v>
      </c>
      <c r="AY45" s="2">
        <f ca="1">X45/X$4</f>
        <v>0.11155802460228709</v>
      </c>
      <c r="AZ45" s="2">
        <f ca="1">Y45/Y$4</f>
        <v>0.11162782378507931</v>
      </c>
      <c r="BA45" s="2">
        <f ca="1">Z45/Z$4</f>
        <v>0.1113503318446291</v>
      </c>
      <c r="BB45" s="2">
        <f ca="1">AA45/AA$4</f>
        <v>0.11191457607845924</v>
      </c>
      <c r="BC45" s="2">
        <f ca="1">AB45/AB$4</f>
        <v>0.111513666151633</v>
      </c>
      <c r="BD45" s="2">
        <f ca="1">AC45/AC$4</f>
        <v>0.1114713216957606</v>
      </c>
      <c r="BE45" s="2">
        <f ca="1">AD45/AD$4</f>
        <v>0.11173771410557287</v>
      </c>
      <c r="BF45" s="2">
        <f ca="1">AE45/AE$4</f>
        <v>0.1110074791025077</v>
      </c>
      <c r="BG45" s="2">
        <f ca="1">AF45/AF$4</f>
        <v>0.11131005669949269</v>
      </c>
      <c r="BH45" s="2">
        <f ca="1">AG45/AG$4</f>
        <v>0.11253281988447403</v>
      </c>
      <c r="BI45" s="2">
        <f ca="1">AH45/AH$4</f>
        <v>0.11192197038804294</v>
      </c>
      <c r="BJ45" s="2">
        <f ca="1">AI45/AI$4</f>
        <v>0.11422330945308407</v>
      </c>
      <c r="BK45" s="2">
        <f ca="1">AJ45/AJ$4</f>
        <v>0.1138817435735909</v>
      </c>
      <c r="BL45" s="2">
        <f ca="1">AK45/AK$4</f>
        <v>0.1128346346904629</v>
      </c>
      <c r="BM45" s="2">
        <f ca="1">AL45/AL$4</f>
        <v>0.1135556259013049</v>
      </c>
      <c r="BN45" s="2">
        <f ca="1">AM45/AM$4</f>
        <v>0.11391203459550679</v>
      </c>
      <c r="BO45" s="2">
        <f ca="1">AN45/AN$4</f>
        <v>0.11292310943608889</v>
      </c>
      <c r="BP45" s="2">
        <f ca="1">AO45/AO$4</f>
        <v>0.11276135292680373</v>
      </c>
      <c r="BQ45" s="2">
        <f ca="1">AP45/AP$4</f>
        <v>0.11356111306798169</v>
      </c>
      <c r="BR45" s="2">
        <f ca="1">AQ45/AQ$4</f>
        <v>0.11143290821222325</v>
      </c>
      <c r="BS45" s="2">
        <f ca="1">AR45/AR$4</f>
        <v>0.1105451017084243</v>
      </c>
      <c r="BT45" s="2">
        <f ca="1">AS45/AS$4</f>
        <v>0.11063475257320397</v>
      </c>
      <c r="BU45" s="2"/>
      <c r="BV45" s="2">
        <f ca="1">EOMONTH(TODAY(), -1)</f>
        <v>45565</v>
      </c>
      <c r="BW45" s="2" cm="1" vm="1105">
        <f t="array" aca="1" ref="BW45" ca="1">_xlfn.STOCKHISTORY(P45,BV45, BV45, 0, 0, 1)</f>
        <v>64.739999999999995</v>
      </c>
      <c r="BX45" s="7">
        <f ca="1">IF(BW45&lt;&gt;0, (AU45 -BW45) / BW45, "N/A")</f>
        <v>-9.1906085881989334E-3</v>
      </c>
      <c r="BY45" s="7"/>
      <c r="BZ45" s="7"/>
      <c r="CA45" s="8">
        <f ca="1">TODAY() - WEEKDAY(TODAY(), 2) + 1</f>
        <v>45579</v>
      </c>
      <c r="CB45" s="7" cm="1" vm="1114">
        <f t="array" aca="1" ref="CB45" ca="1">IFERROR(_xlfn.STOCKHISTORY(P45, WORKDAY(CA45, 0), WORKDAY(CA45, 0), 0, 0, 1), "N/A")</f>
        <v>64.144999999999996</v>
      </c>
      <c r="CC45" s="9">
        <f ca="1">IF(CB45&lt;&gt;0, (AU45 - CB45) / CB45, "N/A")</f>
        <v>0</v>
      </c>
      <c r="CD45" s="10">
        <f ca="1">TODAY() - WEEKDAY(TODAY(), 2) - 2</f>
        <v>45576</v>
      </c>
      <c r="CE45" s="11" cm="1" vm="1113">
        <f t="array" aca="1" ref="CE45" ca="1">IFERROR(_xlfn.STOCKHISTORY(P45, WORKDAY(CD45, 0), WORKDAY(CD45, 0), 0, 0, 1), "N/A")</f>
        <v>64.11</v>
      </c>
      <c r="CF45" s="12">
        <f ca="1">IF(CE45&lt;&gt;0, (AU45 - CE45) / CE45, "N/A")</f>
        <v>5.4593667134607065E-4</v>
      </c>
      <c r="CG45" s="7"/>
      <c r="CH45" s="2"/>
    </row>
    <row r="46" spans="1:116" x14ac:dyDescent="0.4">
      <c r="B46" s="6" t="str">
        <f ca="1">P46 &amp; " - " &amp; S46</f>
        <v>VEU - Vanguard FTSE xUS;ETF</v>
      </c>
      <c r="C46" s="6"/>
      <c r="D46" s="6" cm="1">
        <f t="array" aca="1" ref="D46" ca="1">_FV(O46,"Änderung (%)",TRUE)</f>
        <v>0</v>
      </c>
      <c r="E46" s="6">
        <f ca="1">_xlfn.RANK.EQ(D46, D:D, 1) / COUNT(D:D)</f>
        <v>0.32727272727272727</v>
      </c>
      <c r="F46" s="6">
        <f ca="1">PERCENTRANK(AV46:BT46,BT46)</f>
        <v>4.1000000000000002E-2</v>
      </c>
      <c r="G46" s="6">
        <f ca="1">IF(CE46&lt;&gt;0, (AU46 - CE46) / CE46, "N/A")</f>
        <v>0</v>
      </c>
      <c r="H46" s="6">
        <f ca="1">(AU46/AP46-1)</f>
        <v>-5.4131507721700833E-3</v>
      </c>
      <c r="I46" s="6">
        <f ca="1">IF(BW46&lt;&gt;0, (AU46 -BW46) / BW46, "N/A")</f>
        <v>-8.4126984126984307E-3</v>
      </c>
      <c r="J46" s="6">
        <f ca="1">_xlfn.RANK.EQ(I46, I:I, 1) / COUNT(I:I)</f>
        <v>0.12727272727272726</v>
      </c>
      <c r="K46" s="6">
        <f ca="1">IFERROR((AU46/X46-1), "Error")</f>
        <v>3.7707641196013331E-2</v>
      </c>
      <c r="L46" s="6">
        <f ca="1">_xlfn.RANK.EQ(K46, K:K, 1) / COUNT(K:K)</f>
        <v>0.16363636363636364</v>
      </c>
      <c r="M46" s="6"/>
      <c r="N46" s="6">
        <f ca="1">IF(BW46&lt;&gt;0, (AU46 -BW46) / BW46, "N/A")</f>
        <v>-8.4126984126984307E-3</v>
      </c>
      <c r="O46" s="2" t="e" vm="1115">
        <v>#VALUE!</v>
      </c>
      <c r="P46" s="14" t="s">
        <v>63</v>
      </c>
      <c r="Q46" s="2" t="str">
        <f>P46 &amp; ""</f>
        <v>VEU</v>
      </c>
      <c r="R46" s="14" t="s">
        <v>71</v>
      </c>
      <c r="S46" s="2" t="str" cm="1">
        <f t="array" aca="1" ref="S46" ca="1">_FV(O46,"Name")</f>
        <v>Vanguard FTSE xUS;ETF</v>
      </c>
      <c r="T46" s="2" t="str" cm="1">
        <f t="array" aca="1" ref="T46" ca="1">_FV(O46,"Name")</f>
        <v>Vanguard FTSE xUS;ETF</v>
      </c>
      <c r="U46" s="2" cm="1" vm="1116">
        <f t="array" aca="1" ref="U46:AU46" ca="1">TRANSPOSE(_xlfn.STOCKHISTORY(P46, WORKDAY(TODAY(), -27), TODAY(), 0, 0, 1))</f>
        <v>59.49</v>
      </c>
      <c r="V46" s="2" vm="1117">
        <f ca="1"/>
        <v>60.07</v>
      </c>
      <c r="W46" s="2" vm="1118">
        <f ca="1"/>
        <v>59.83</v>
      </c>
      <c r="X46" s="2" vm="1119">
        <f ca="1"/>
        <v>60.2</v>
      </c>
      <c r="Y46" s="2" vm="1120">
        <f ca="1"/>
        <v>60.73</v>
      </c>
      <c r="Z46" s="2" vm="1121">
        <f ca="1"/>
        <v>60.92</v>
      </c>
      <c r="AA46" s="2" vm="1122">
        <f ca="1"/>
        <v>61.31</v>
      </c>
      <c r="AB46" s="2" vm="1123">
        <f ca="1"/>
        <v>61.07</v>
      </c>
      <c r="AC46" s="2" vm="1124">
        <f ca="1"/>
        <v>60.89</v>
      </c>
      <c r="AD46" s="2" vm="1125">
        <f ca="1"/>
        <v>62.06</v>
      </c>
      <c r="AE46" s="2" vm="1126">
        <f ca="1"/>
        <v>61.42</v>
      </c>
      <c r="AF46" s="2" vm="1127">
        <f ca="1"/>
        <v>61.71</v>
      </c>
      <c r="AG46" s="2" vm="1128">
        <f ca="1"/>
        <v>62.57</v>
      </c>
      <c r="AH46" s="2" vm="1129">
        <f ca="1"/>
        <v>62.09</v>
      </c>
      <c r="AI46" s="2" vm="1130">
        <f ca="1"/>
        <v>63.69</v>
      </c>
      <c r="AJ46" s="2" vm="1131">
        <f ca="1"/>
        <v>63.38</v>
      </c>
      <c r="AK46" s="2" vm="1132">
        <f ca="1"/>
        <v>63</v>
      </c>
      <c r="AL46" s="2" vm="1133">
        <f ca="1"/>
        <v>62.86</v>
      </c>
      <c r="AM46" s="2" vm="1134">
        <f ca="1"/>
        <v>63.13</v>
      </c>
      <c r="AN46" s="2" vm="1135">
        <f ca="1"/>
        <v>62.43</v>
      </c>
      <c r="AO46" s="2" vm="1136">
        <f ca="1"/>
        <v>62.93</v>
      </c>
      <c r="AP46" s="2" vm="1137">
        <f ca="1"/>
        <v>62.81</v>
      </c>
      <c r="AQ46" s="2" vm="1138">
        <f ca="1"/>
        <v>62.28</v>
      </c>
      <c r="AR46" s="2" vm="1139">
        <f ca="1"/>
        <v>62.18</v>
      </c>
      <c r="AS46" s="2" vm="1140">
        <f ca="1"/>
        <v>62.13</v>
      </c>
      <c r="AT46" s="2" vm="1141">
        <f ca="1"/>
        <v>62.47</v>
      </c>
      <c r="AU46" s="2" vm="1141">
        <f ca="1"/>
        <v>62.47</v>
      </c>
      <c r="AV46" s="2">
        <f ca="1">U46/U$4</f>
        <v>0.11009327115256495</v>
      </c>
      <c r="AW46" s="2">
        <f ca="1">V46/V$4</f>
        <v>0.10993576252264783</v>
      </c>
      <c r="AX46" s="2">
        <f ca="1">W46/W$4</f>
        <v>0.10902166584668088</v>
      </c>
      <c r="AY46" s="2">
        <f ca="1">X46/X$4</f>
        <v>0.10858194148840231</v>
      </c>
      <c r="AZ46" s="2">
        <f ca="1">Y46/Y$4</f>
        <v>0.10862294085031031</v>
      </c>
      <c r="BA46" s="2">
        <f ca="1">Z46/Z$4</f>
        <v>0.10839664774648139</v>
      </c>
      <c r="BB46" s="2">
        <f ca="1">AA46/AA$4</f>
        <v>0.10892971359533793</v>
      </c>
      <c r="BC46" s="2">
        <f ca="1">AB46/AB$4</f>
        <v>0.10845898378531976</v>
      </c>
      <c r="BD46" s="2">
        <f ca="1">AC46/AC$4</f>
        <v>0.10846099038118989</v>
      </c>
      <c r="BE46" s="2">
        <f ca="1">AD46/AD$4</f>
        <v>0.10869032190269362</v>
      </c>
      <c r="BF46" s="2">
        <f ca="1">AE46/AE$4</f>
        <v>0.1080862296524417</v>
      </c>
      <c r="BG46" s="2">
        <f ca="1">AF46/AF$4</f>
        <v>0.10832587287376903</v>
      </c>
      <c r="BH46" s="2">
        <f ca="1">AG46/AG$4</f>
        <v>0.10952214248205847</v>
      </c>
      <c r="BI46" s="2">
        <f ca="1">AH46/AH$4</f>
        <v>0.10892218089958601</v>
      </c>
      <c r="BJ46" s="2">
        <f ca="1">AI46/AI$4</f>
        <v>0.11128778612615761</v>
      </c>
      <c r="BK46" s="2">
        <f ca="1">AJ46/AJ$4</f>
        <v>0.1109069592454547</v>
      </c>
      <c r="BL46" s="2">
        <f ca="1">AK46/AK$4</f>
        <v>0.10980200780814278</v>
      </c>
      <c r="BM46" s="2">
        <f ca="1">AL46/AL$4</f>
        <v>0.11054834511624635</v>
      </c>
      <c r="BN46" s="2">
        <f ca="1">AM46/AM$4</f>
        <v>0.11097633864219668</v>
      </c>
      <c r="BO46" s="2">
        <f ca="1">AN46/AN$4</f>
        <v>0.10994681413123876</v>
      </c>
      <c r="BP46" s="2">
        <f ca="1">AO46/AO$4</f>
        <v>0.10982931341408077</v>
      </c>
      <c r="BQ46" s="2">
        <f ca="1">AP46/AP$4</f>
        <v>0.11061993659739346</v>
      </c>
      <c r="BR46" s="2">
        <f ca="1">AQ46/AQ$4</f>
        <v>0.10865886211769633</v>
      </c>
      <c r="BS46" s="2">
        <f ca="1">AR46/AR$4</f>
        <v>0.1077381571195897</v>
      </c>
      <c r="BT46" s="2">
        <f ca="1">AS46/AS$4</f>
        <v>0.10784024438928715</v>
      </c>
      <c r="BU46" s="2"/>
      <c r="BV46" s="2">
        <f ca="1">EOMONTH(TODAY(), -1)</f>
        <v>45565</v>
      </c>
      <c r="BW46" s="2" cm="1" vm="1132">
        <f t="array" aca="1" ref="BW46" ca="1">_xlfn.STOCKHISTORY(P46,BV46, BV46, 0, 0, 1)</f>
        <v>63</v>
      </c>
      <c r="BX46" s="7">
        <f ca="1">IF(BW46&lt;&gt;0, (AU46 -BW46) / BW46, "N/A")</f>
        <v>-8.4126984126984307E-3</v>
      </c>
      <c r="BY46" s="7"/>
      <c r="BZ46" s="7"/>
      <c r="CA46" s="8">
        <f ca="1">TODAY() - WEEKDAY(TODAY(), 2) + 1</f>
        <v>45579</v>
      </c>
      <c r="CB46" s="7" cm="1" vm="1141">
        <f t="array" aca="1" ref="CB46" ca="1">IFERROR(_xlfn.STOCKHISTORY(P46, WORKDAY(CA46, 0), WORKDAY(CA46, 0), 0, 0, 1), "N/A")</f>
        <v>62.47</v>
      </c>
      <c r="CC46" s="9">
        <f ca="1">IF(CB46&lt;&gt;0, (AU46 - CB46) / CB46, "N/A")</f>
        <v>0</v>
      </c>
      <c r="CD46" s="10">
        <f ca="1">TODAY() - WEEKDAY(TODAY(), 2) - 2</f>
        <v>45576</v>
      </c>
      <c r="CE46" s="11" cm="1" vm="1141">
        <f t="array" aca="1" ref="CE46" ca="1">IFERROR(_xlfn.STOCKHISTORY(P46, WORKDAY(CD46, 0), WORKDAY(CD46, 0), 0, 0, 1), "N/A")</f>
        <v>62.47</v>
      </c>
      <c r="CF46" s="12">
        <f ca="1">IF(CE46&lt;&gt;0, (AU46 - CE46) / CE46, "N/A")</f>
        <v>0</v>
      </c>
      <c r="CG46" s="7"/>
      <c r="CH46" s="2"/>
    </row>
    <row r="47" spans="1:116" x14ac:dyDescent="0.4">
      <c r="B47" s="6" t="str">
        <f ca="1">P47 &amp; " - " &amp; S47</f>
        <v>SLV - Selvita Ltd.</v>
      </c>
      <c r="C47" s="6"/>
      <c r="D47" s="6" cm="1">
        <f t="array" aca="1" ref="D47" ca="1">_FV(O47,"Änderung (%)",TRUE)</f>
        <v>1.6669999999999999E-3</v>
      </c>
      <c r="E47" s="6">
        <f ca="1">_xlfn.RANK.EQ(D47, D:D, 1) / COUNT(D:D)</f>
        <v>0.43636363636363634</v>
      </c>
      <c r="F47" s="6">
        <f ca="1">PERCENTRANK(AV47:BT47,BT47)</f>
        <v>0.41599999999999998</v>
      </c>
      <c r="G47" s="6">
        <f ca="1">IF(CE47&lt;&gt;0, (AU47 - CE47) / CE47, "N/A")</f>
        <v>-9.0277777777778324E-3</v>
      </c>
      <c r="H47" s="6">
        <f ca="1">(AU47/AP47-1)</f>
        <v>-1.3480815762184628E-2</v>
      </c>
      <c r="I47" s="6">
        <f ca="1">IF(BW47&lt;&gt;0, (AU47 -BW47) / BW47, "N/A")</f>
        <v>4.5758535726856389E-3</v>
      </c>
      <c r="J47" s="6">
        <f ca="1">_xlfn.RANK.EQ(I47, I:I, 1) / COUNT(I:I)</f>
        <v>0.25454545454545452</v>
      </c>
      <c r="K47" s="6">
        <f ca="1">IFERROR((AU47/X47-1), "Error")</f>
        <v>9.2649310872894297E-2</v>
      </c>
      <c r="L47" s="6">
        <f ca="1">_xlfn.RANK.EQ(K47, K:K, 1) / COUNT(K:K)</f>
        <v>0.6</v>
      </c>
      <c r="M47" s="6"/>
      <c r="N47" s="6">
        <f ca="1">IF(BW47&lt;&gt;0, (AU47 -BW47) / BW47, "N/A")</f>
        <v>4.5758535726856389E-3</v>
      </c>
      <c r="O47" s="2" t="e" vm="1142">
        <v>#VALUE!</v>
      </c>
      <c r="P47" s="14" t="s">
        <v>55</v>
      </c>
      <c r="Q47" s="2" t="str">
        <f>P47 &amp; ""</f>
        <v>SLV</v>
      </c>
      <c r="R47" s="14" t="s">
        <v>71</v>
      </c>
      <c r="S47" s="2" t="str" cm="1">
        <f t="array" aca="1" ref="S47" ca="1">_FV(O47,"Name")</f>
        <v>Selvita Ltd.</v>
      </c>
      <c r="T47" s="2" t="str" cm="1">
        <f t="array" aca="1" ref="T47" ca="1">_FV(O47,"Name")</f>
        <v>Selvita Ltd.</v>
      </c>
      <c r="U47" s="2" cm="1" vm="1143">
        <f t="array" aca="1" ref="U47:AU47" ca="1">TRANSPOSE(_xlfn.STOCKHISTORY(P47, WORKDAY(TODAY(), -27), TODAY(), 0, 0, 1))</f>
        <v>25.48</v>
      </c>
      <c r="V47" s="2" vm="1144">
        <f ca="1"/>
        <v>25.85</v>
      </c>
      <c r="W47" s="2" vm="1145">
        <f ca="1"/>
        <v>25.94</v>
      </c>
      <c r="X47" s="2" vm="1146">
        <f ca="1"/>
        <v>26.12</v>
      </c>
      <c r="Y47" s="2" vm="1147">
        <f ca="1"/>
        <v>27.27</v>
      </c>
      <c r="Z47" s="2" vm="1148">
        <f ca="1"/>
        <v>28.02</v>
      </c>
      <c r="AA47" s="2" vm="1149">
        <f ca="1"/>
        <v>28.07</v>
      </c>
      <c r="AB47" s="2" vm="1150">
        <f ca="1"/>
        <v>27.96</v>
      </c>
      <c r="AC47" s="2" vm="1151">
        <f ca="1"/>
        <v>27.24</v>
      </c>
      <c r="AD47" s="2" vm="1152">
        <f ca="1"/>
        <v>28.09</v>
      </c>
      <c r="AE47" s="2" vm="1153">
        <f ca="1"/>
        <v>28.41</v>
      </c>
      <c r="AF47" s="2" vm="1154">
        <f ca="1"/>
        <v>27.98</v>
      </c>
      <c r="AG47" s="2" vm="1155">
        <f ca="1"/>
        <v>29.38</v>
      </c>
      <c r="AH47" s="2" vm="1156">
        <f ca="1"/>
        <v>29.06</v>
      </c>
      <c r="AI47" s="2" vm="1157">
        <f ca="1"/>
        <v>29.26</v>
      </c>
      <c r="AJ47" s="2" vm="1158">
        <f ca="1"/>
        <v>28.86</v>
      </c>
      <c r="AK47" s="2" vm="1153">
        <f ca="1"/>
        <v>28.41</v>
      </c>
      <c r="AL47" s="2" vm="1159">
        <f ca="1"/>
        <v>28.58</v>
      </c>
      <c r="AM47" s="2" vm="1160">
        <f ca="1"/>
        <v>29</v>
      </c>
      <c r="AN47" s="2" vm="1161">
        <f ca="1"/>
        <v>29.23</v>
      </c>
      <c r="AO47" s="2" vm="1162">
        <f ca="1"/>
        <v>29.36</v>
      </c>
      <c r="AP47" s="2" vm="1163">
        <f ca="1"/>
        <v>28.93</v>
      </c>
      <c r="AQ47" s="2" vm="1164">
        <f ca="1"/>
        <v>28.01</v>
      </c>
      <c r="AR47" s="2" vm="1165">
        <f ca="1"/>
        <v>27.86</v>
      </c>
      <c r="AS47" s="2" vm="1166">
        <f ca="1"/>
        <v>28.38</v>
      </c>
      <c r="AT47" s="2" vm="1167">
        <f ca="1"/>
        <v>28.8</v>
      </c>
      <c r="AU47" s="2" vm="1168">
        <f ca="1"/>
        <v>28.54</v>
      </c>
      <c r="AV47" s="2">
        <f ca="1">U47/U$4</f>
        <v>4.7153749352283662E-2</v>
      </c>
      <c r="AW47" s="2">
        <f ca="1">V47/V$4</f>
        <v>4.73087974231804E-2</v>
      </c>
      <c r="AX47" s="2">
        <f ca="1">W47/W$4</f>
        <v>4.7267625138942039E-2</v>
      </c>
      <c r="AY47" s="2">
        <f ca="1">X47/X$4</f>
        <v>4.7112297536163923E-2</v>
      </c>
      <c r="AZ47" s="2">
        <f ca="1">Y47/Y$4</f>
        <v>4.8775689066161081E-2</v>
      </c>
      <c r="BA47" s="2">
        <f ca="1">Z47/Z$4</f>
        <v>4.9856764114517532E-2</v>
      </c>
      <c r="BB47" s="2">
        <f ca="1">AA47/AA$4</f>
        <v>4.9872077322151945E-2</v>
      </c>
      <c r="BC47" s="2">
        <f ca="1">AB47/AB$4</f>
        <v>4.9656348233789754E-2</v>
      </c>
      <c r="BD47" s="2">
        <f ca="1">AC47/AC$4</f>
        <v>4.8521553259707875E-2</v>
      </c>
      <c r="BE47" s="2">
        <f ca="1">AD47/AD$4</f>
        <v>4.9196118953378401E-2</v>
      </c>
      <c r="BF47" s="2">
        <f ca="1">AE47/AE$4</f>
        <v>4.9995600527936647E-2</v>
      </c>
      <c r="BG47" s="2">
        <f ca="1">AF47/AF$4</f>
        <v>4.9116154966910672E-2</v>
      </c>
      <c r="BH47" s="2">
        <f ca="1">AG47/AG$4</f>
        <v>5.1426570978470157E-2</v>
      </c>
      <c r="BI47" s="2">
        <f ca="1">AH47/AH$4</f>
        <v>5.0978878675180687E-2</v>
      </c>
      <c r="BJ47" s="2">
        <f ca="1">AI47/AI$4</f>
        <v>5.1127031277302122E-2</v>
      </c>
      <c r="BK47" s="2">
        <f ca="1">AJ47/AJ$4</f>
        <v>5.0501338652947661E-2</v>
      </c>
      <c r="BL47" s="2">
        <f ca="1">AK47/AK$4</f>
        <v>4.9515476854433908E-2</v>
      </c>
      <c r="BM47" s="2">
        <f ca="1">AL47/AL$4</f>
        <v>5.0262037916358901E-2</v>
      </c>
      <c r="BN47" s="2">
        <f ca="1">AM47/AM$4</f>
        <v>5.097915128502619E-2</v>
      </c>
      <c r="BO47" s="2">
        <f ca="1">AN47/AN$4</f>
        <v>5.14775809235321E-2</v>
      </c>
      <c r="BP47" s="2">
        <f ca="1">AO47/AO$4</f>
        <v>5.1240881008063108E-2</v>
      </c>
      <c r="BQ47" s="2">
        <f ca="1">AP47/AP$4</f>
        <v>5.0951039098274045E-2</v>
      </c>
      <c r="BR47" s="2">
        <f ca="1">AQ47/AQ$4</f>
        <v>4.8868573023710248E-2</v>
      </c>
      <c r="BS47" s="2">
        <f ca="1">AR47/AR$4</f>
        <v>4.8272516200575252E-2</v>
      </c>
      <c r="BT47" s="2">
        <f ca="1">AS47/AS$4</f>
        <v>4.9259715689167372E-2</v>
      </c>
      <c r="BU47" s="2"/>
      <c r="BV47" s="2">
        <f ca="1">EOMONTH(TODAY(), -1)</f>
        <v>45565</v>
      </c>
      <c r="BW47" s="2" cm="1" vm="1153">
        <f t="array" aca="1" ref="BW47" ca="1">_xlfn.STOCKHISTORY(P47,BV47, BV47, 0, 0, 1)</f>
        <v>28.41</v>
      </c>
      <c r="BX47" s="7">
        <f ca="1">IF(BW47&lt;&gt;0, (AU47 -BW47) / BW47, "N/A")</f>
        <v>4.5758535726856389E-3</v>
      </c>
      <c r="BY47" s="7"/>
      <c r="BZ47" s="7"/>
      <c r="CA47" s="8">
        <f ca="1">TODAY() - WEEKDAY(TODAY(), 2) + 1</f>
        <v>45579</v>
      </c>
      <c r="CB47" s="7" cm="1" vm="1168">
        <f t="array" aca="1" ref="CB47" ca="1">IFERROR(_xlfn.STOCKHISTORY(P47, WORKDAY(CA47, 0), WORKDAY(CA47, 0), 0, 0, 1), "N/A")</f>
        <v>28.54</v>
      </c>
      <c r="CC47" s="9">
        <f ca="1">IF(CB47&lt;&gt;0, (AU47 - CB47) / CB47, "N/A")</f>
        <v>0</v>
      </c>
      <c r="CD47" s="10">
        <f ca="1">TODAY() - WEEKDAY(TODAY(), 2) - 2</f>
        <v>45576</v>
      </c>
      <c r="CE47" s="11" cm="1" vm="1167">
        <f t="array" aca="1" ref="CE47" ca="1">IFERROR(_xlfn.STOCKHISTORY(P47, WORKDAY(CD47, 0), WORKDAY(CD47, 0), 0, 0, 1), "N/A")</f>
        <v>28.8</v>
      </c>
      <c r="CF47" s="12">
        <f ca="1">IF(CE47&lt;&gt;0, (AU47 - CE47) / CE47, "N/A")</f>
        <v>-9.0277777777778324E-3</v>
      </c>
      <c r="CG47" s="7"/>
      <c r="CH47" s="2"/>
    </row>
    <row r="48" spans="1:116" x14ac:dyDescent="0.4">
      <c r="B48" s="6" t="str">
        <f ca="1">P48 &amp; " - " &amp; S48</f>
        <v>XOP - SPDR S&amp;P Oil&amp;Gas Exp</v>
      </c>
      <c r="C48" s="6"/>
      <c r="D48" s="6" cm="1">
        <f t="array" aca="1" ref="D48" ca="1">_FV(O48,"Änderung (%)",TRUE)</f>
        <v>-1.3645000000000001E-2</v>
      </c>
      <c r="E48" s="6">
        <f ca="1">_xlfn.RANK.EQ(D48, D:D, 1) / COUNT(D:D)</f>
        <v>0.12727272727272726</v>
      </c>
      <c r="F48" s="6">
        <f ca="1">PERCENTRANK(AV48:BT48,BT48)</f>
        <v>0.875</v>
      </c>
      <c r="G48" s="6">
        <f ca="1">IF(CE48&lt;&gt;0, (AU48 - CE48) / CE48, "N/A")</f>
        <v>-1.3645085637126117E-2</v>
      </c>
      <c r="H48" s="6">
        <f ca="1">(AU48/AP48-1)</f>
        <v>-2.0259776930679152E-2</v>
      </c>
      <c r="I48" s="6">
        <f ca="1">IF(BW48&lt;&gt;0, (AU48 -BW48) / BW48, "N/A")</f>
        <v>5.52767639902675E-2</v>
      </c>
      <c r="J48" s="6">
        <f ca="1">_xlfn.RANK.EQ(I48, I:I, 1) / COUNT(I:I)</f>
        <v>0.92727272727272725</v>
      </c>
      <c r="K48" s="6">
        <f ca="1">IFERROR((AU48/X48-1), "Error")</f>
        <v>9.3954441554346957E-2</v>
      </c>
      <c r="L48" s="6">
        <f ca="1">_xlfn.RANK.EQ(K48, K:K, 1) / COUNT(K:K)</f>
        <v>0.65454545454545454</v>
      </c>
      <c r="M48" s="6"/>
      <c r="N48" s="6">
        <f ca="1">IF(BW48&lt;&gt;0, (AU48 -BW48) / BW48, "N/A")</f>
        <v>5.52767639902675E-2</v>
      </c>
      <c r="O48" s="2" t="e" vm="1169">
        <v>#VALUE!</v>
      </c>
      <c r="P48" s="14" t="s">
        <v>26</v>
      </c>
      <c r="Q48" s="2" t="str">
        <f>P48 &amp; ""</f>
        <v>XOP</v>
      </c>
      <c r="R48" s="14" t="s">
        <v>71</v>
      </c>
      <c r="S48" s="2" t="str" cm="1">
        <f t="array" aca="1" ref="S48" ca="1">_FV(O48,"Name")</f>
        <v>SPDR S&amp;P Oil&amp;Gas Exp</v>
      </c>
      <c r="T48" s="2" t="str" cm="1">
        <f t="array" aca="1" ref="T48" ca="1">_FV(O48,"Name")</f>
        <v>SPDR S&amp;P Oil&amp;Gas Exp</v>
      </c>
      <c r="U48" s="2" cm="1" vm="1170">
        <f t="array" aca="1" ref="U48:AU48" ca="1">TRANSPOSE(_xlfn.STOCKHISTORY(P48, WORKDAY(TODAY(), -27), TODAY(), 0, 0, 1))</f>
        <v>129.12</v>
      </c>
      <c r="V48" s="2" vm="1171">
        <f ca="1"/>
        <v>128.32</v>
      </c>
      <c r="W48" s="2" vm="1172">
        <f ca="1"/>
        <v>126.92</v>
      </c>
      <c r="X48" s="2" vm="1173">
        <f ca="1"/>
        <v>126.87</v>
      </c>
      <c r="Y48" s="2" vm="1174">
        <f ca="1"/>
        <v>127.25</v>
      </c>
      <c r="Z48" s="2" vm="1175">
        <f ca="1"/>
        <v>128.55000000000001</v>
      </c>
      <c r="AA48" s="2" vm="1176">
        <f ca="1"/>
        <v>129.86000000000001</v>
      </c>
      <c r="AB48" s="2" vm="1177">
        <f ca="1"/>
        <v>132.19</v>
      </c>
      <c r="AC48" s="2" vm="1178">
        <f ca="1"/>
        <v>132.66999999999999</v>
      </c>
      <c r="AD48" s="2" vm="1179">
        <f ca="1"/>
        <v>134.82</v>
      </c>
      <c r="AE48" s="2" vm="1180">
        <f ca="1"/>
        <v>134.81</v>
      </c>
      <c r="AF48" s="2" vm="1181">
        <f ca="1"/>
        <v>135.13999999999999</v>
      </c>
      <c r="AG48" s="2" vm="1182">
        <f ca="1"/>
        <v>134.28</v>
      </c>
      <c r="AH48" s="2" vm="1183">
        <f ca="1"/>
        <v>131.1</v>
      </c>
      <c r="AI48" s="2" vm="1184">
        <f ca="1"/>
        <v>127.95</v>
      </c>
      <c r="AJ48" s="2" vm="1185">
        <f ca="1"/>
        <v>131.13999999999999</v>
      </c>
      <c r="AK48" s="2" vm="1186">
        <f ca="1"/>
        <v>131.52000000000001</v>
      </c>
      <c r="AL48" s="2" vm="1187">
        <f ca="1"/>
        <v>133.72999999999999</v>
      </c>
      <c r="AM48" s="2" vm="1188">
        <f ca="1"/>
        <v>135.36000000000001</v>
      </c>
      <c r="AN48" s="2" vm="1189">
        <f ca="1"/>
        <v>139.81</v>
      </c>
      <c r="AO48" s="2" vm="1190">
        <f ca="1"/>
        <v>140.79</v>
      </c>
      <c r="AP48" s="2" vm="1191">
        <f ca="1"/>
        <v>141.66</v>
      </c>
      <c r="AQ48" s="2" vm="1192">
        <f ca="1"/>
        <v>137.77000000000001</v>
      </c>
      <c r="AR48" s="2" vm="1193">
        <f ca="1"/>
        <v>137.79</v>
      </c>
      <c r="AS48" s="2" vm="1194">
        <f ca="1"/>
        <v>139.16</v>
      </c>
      <c r="AT48" s="2" vm="1195">
        <f ca="1"/>
        <v>140.71</v>
      </c>
      <c r="AU48" s="2" vm="1196">
        <f ca="1"/>
        <v>138.79</v>
      </c>
      <c r="AV48" s="2">
        <f ca="1">U48/U$4</f>
        <v>0.23895180990450809</v>
      </c>
      <c r="AW48" s="2">
        <f ca="1">V48/V$4</f>
        <v>0.23484196848520342</v>
      </c>
      <c r="AX48" s="2">
        <f ca="1">W48/W$4</f>
        <v>0.23127243572222528</v>
      </c>
      <c r="AY48" s="2">
        <f ca="1">X48/X$4</f>
        <v>0.22883373615670433</v>
      </c>
      <c r="AZ48" s="2">
        <f ca="1">Y48/Y$4</f>
        <v>0.22760199610080664</v>
      </c>
      <c r="BA48" s="2">
        <f ca="1">Z48/Z$4</f>
        <v>0.22873258482945147</v>
      </c>
      <c r="BB48" s="2">
        <f ca="1">AA48/AA$4</f>
        <v>0.23072276312984152</v>
      </c>
      <c r="BC48" s="2">
        <f ca="1">AB48/AB$4</f>
        <v>0.23476654767613261</v>
      </c>
      <c r="BD48" s="2">
        <f ca="1">AC48/AC$4</f>
        <v>0.2363199144994656</v>
      </c>
      <c r="BE48" s="2">
        <f ca="1">AD48/AD$4</f>
        <v>0.23612035447826543</v>
      </c>
      <c r="BF48" s="2">
        <f ca="1">AE48/AE$4</f>
        <v>0.23723713154421469</v>
      </c>
      <c r="BG48" s="2">
        <f ca="1">AF48/AF$4</f>
        <v>0.23722506012252706</v>
      </c>
      <c r="BH48" s="2">
        <f ca="1">AG48/AG$4</f>
        <v>0.23504288464904605</v>
      </c>
      <c r="BI48" s="2">
        <f ca="1">AH48/AH$4</f>
        <v>0.22998386078169952</v>
      </c>
      <c r="BJ48" s="2">
        <f ca="1">AI48/AI$4</f>
        <v>0.22357155338109386</v>
      </c>
      <c r="BK48" s="2">
        <f ca="1">AJ48/AJ$4</f>
        <v>0.2294783628186956</v>
      </c>
      <c r="BL48" s="2">
        <f ca="1">AK48/AK$4</f>
        <v>0.22922476296709426</v>
      </c>
      <c r="BM48" s="2">
        <f ca="1">AL48/AL$4</f>
        <v>0.23518342654145122</v>
      </c>
      <c r="BN48" s="2">
        <f ca="1">AM48/AM$4</f>
        <v>0.23794958337728089</v>
      </c>
      <c r="BO48" s="2">
        <f ca="1">AN48/AN$4</f>
        <v>0.24622239442076713</v>
      </c>
      <c r="BP48" s="2">
        <f ca="1">AO48/AO$4</f>
        <v>0.2457153827358721</v>
      </c>
      <c r="BQ48" s="2">
        <f ca="1">AP48/AP$4</f>
        <v>0.24948925678055656</v>
      </c>
      <c r="BR48" s="2">
        <f ca="1">AQ48/AQ$4</f>
        <v>0.24036498769998432</v>
      </c>
      <c r="BS48" s="2">
        <f ca="1">AR48/AR$4</f>
        <v>0.2387462314169872</v>
      </c>
      <c r="BT48" s="2">
        <f ca="1">AS48/AS$4</f>
        <v>0.24154270737507161</v>
      </c>
      <c r="BU48" s="2"/>
      <c r="BV48" s="2">
        <f ca="1">EOMONTH(TODAY(), -1)</f>
        <v>45565</v>
      </c>
      <c r="BW48" s="2" cm="1" vm="1186">
        <f t="array" aca="1" ref="BW48" ca="1">_xlfn.STOCKHISTORY(P48,BV48, BV48, 0, 0, 1)</f>
        <v>131.52000000000001</v>
      </c>
      <c r="BX48" s="7">
        <f ca="1">IF(BW48&lt;&gt;0, (AU48 -BW48) / BW48, "N/A")</f>
        <v>5.52767639902675E-2</v>
      </c>
      <c r="BY48" s="7"/>
      <c r="BZ48" s="7"/>
      <c r="CA48" s="8">
        <f ca="1">TODAY() - WEEKDAY(TODAY(), 2) + 1</f>
        <v>45579</v>
      </c>
      <c r="CB48" s="7" cm="1" vm="1196">
        <f t="array" aca="1" ref="CB48" ca="1">IFERROR(_xlfn.STOCKHISTORY(P48, WORKDAY(CA48, 0), WORKDAY(CA48, 0), 0, 0, 1), "N/A")</f>
        <v>138.79</v>
      </c>
      <c r="CC48" s="9">
        <f ca="1">IF(CB48&lt;&gt;0, (AU48 - CB48) / CB48, "N/A")</f>
        <v>0</v>
      </c>
      <c r="CD48" s="10">
        <f ca="1">TODAY() - WEEKDAY(TODAY(), 2) - 2</f>
        <v>45576</v>
      </c>
      <c r="CE48" s="11" cm="1" vm="1195">
        <f t="array" aca="1" ref="CE48" ca="1">IFERROR(_xlfn.STOCKHISTORY(P48, WORKDAY(CD48, 0), WORKDAY(CD48, 0), 0, 0, 1), "N/A")</f>
        <v>140.71</v>
      </c>
      <c r="CF48" s="12">
        <f ca="1">IF(CE48&lt;&gt;0, (AU48 - CE48) / CE48, "N/A")</f>
        <v>-1.3645085637126117E-2</v>
      </c>
      <c r="CG48" s="7"/>
      <c r="CH48" s="2"/>
    </row>
    <row r="49" spans="1:116" x14ac:dyDescent="0.4">
      <c r="B49" s="6" t="str">
        <f ca="1">P49 &amp; " - " &amp; S49</f>
        <v>IEMG - iShares:Core MSCI EmMkts</v>
      </c>
      <c r="C49" s="6"/>
      <c r="D49" s="6" cm="1">
        <f t="array" aca="1" ref="D49" ca="1">_FV(O49,"Änderung (%)",TRUE)</f>
        <v>-3.2859999999999999E-3</v>
      </c>
      <c r="E49" s="6">
        <f ca="1">_xlfn.RANK.EQ(D49, D:D, 1) / COUNT(D:D)</f>
        <v>0.21818181818181817</v>
      </c>
      <c r="F49" s="6">
        <f ca="1">PERCENTRANK(AV49:BT49,BT49)</f>
        <v>0.58299999999999996</v>
      </c>
      <c r="G49" s="6">
        <f ca="1">IF(CE49&lt;&gt;0, (AU49 - CE49) / CE49, "N/A")</f>
        <v>-3.2860601867865397E-3</v>
      </c>
      <c r="H49" s="6">
        <f ca="1">(AU49/AP49-1)</f>
        <v>-2.1728059752164186E-2</v>
      </c>
      <c r="I49" s="6">
        <f ca="1">IF(BW49&lt;&gt;0, (AU49 -BW49) / BW49, "N/A")</f>
        <v>3.8320850026128893E-3</v>
      </c>
      <c r="J49" s="6">
        <f ca="1">_xlfn.RANK.EQ(I49, I:I, 1) / COUNT(I:I)</f>
        <v>0.21818181818181817</v>
      </c>
      <c r="K49" s="6">
        <f ca="1">IFERROR((AU49/X49-1), "Error")</f>
        <v>8.3678074464084373E-2</v>
      </c>
      <c r="L49" s="6">
        <f ca="1">_xlfn.RANK.EQ(K49, K:K, 1) / COUNT(K:K)</f>
        <v>0.49090909090909091</v>
      </c>
      <c r="M49" s="6"/>
      <c r="N49" s="6">
        <f ca="1">IF(BW49&lt;&gt;0, (AU49 -BW49) / BW49, "N/A")</f>
        <v>3.8320850026128893E-3</v>
      </c>
      <c r="O49" s="2" t="e" vm="1197">
        <v>#VALUE!</v>
      </c>
      <c r="P49" s="14" t="s">
        <v>58</v>
      </c>
      <c r="Q49" s="2" t="str">
        <f>P49 &amp; ""</f>
        <v>IEMG</v>
      </c>
      <c r="R49" s="14" t="s">
        <v>71</v>
      </c>
      <c r="S49" s="2" t="str" cm="1">
        <f t="array" aca="1" ref="S49" ca="1">_FV(O49,"Name")</f>
        <v>iShares:Core MSCI EmMkts</v>
      </c>
      <c r="T49" s="2" t="str" cm="1">
        <f t="array" aca="1" ref="T49" ca="1">_FV(O49,"Name")</f>
        <v>iShares:Core MSCI EmMkts</v>
      </c>
      <c r="U49" s="2" cm="1" vm="1198">
        <f t="array" aca="1" ref="U49:AU49" ca="1">TRANSPOSE(_xlfn.STOCKHISTORY(P49, WORKDAY(TODAY(), -27), TODAY(), 0, 0, 1))</f>
        <v>52.53</v>
      </c>
      <c r="V49" s="2" vm="1199">
        <f ca="1"/>
        <v>52.99</v>
      </c>
      <c r="W49" s="2" vm="1200">
        <f ca="1"/>
        <v>52.84</v>
      </c>
      <c r="X49" s="2" vm="1201">
        <f ca="1"/>
        <v>53.18</v>
      </c>
      <c r="Y49" s="2" vm="1202">
        <f ca="1"/>
        <v>53.61</v>
      </c>
      <c r="Z49" s="2" vm="1203">
        <f ca="1"/>
        <v>53.86</v>
      </c>
      <c r="AA49" s="2" vm="1204">
        <f ca="1"/>
        <v>54.11</v>
      </c>
      <c r="AB49" s="2" vm="1205">
        <f ca="1"/>
        <v>54.13</v>
      </c>
      <c r="AC49" s="2" vm="1206">
        <f ca="1"/>
        <v>53.94</v>
      </c>
      <c r="AD49" s="2" vm="1207">
        <f ca="1"/>
        <v>55.04</v>
      </c>
      <c r="AE49" s="2" vm="1208">
        <f ca="1"/>
        <v>54.9</v>
      </c>
      <c r="AF49" s="2" vm="1209">
        <f ca="1"/>
        <v>55.32</v>
      </c>
      <c r="AG49" s="2" vm="1210">
        <f ca="1"/>
        <v>57.09</v>
      </c>
      <c r="AH49" s="2" vm="1211">
        <f ca="1"/>
        <v>56.43</v>
      </c>
      <c r="AI49" s="2" vm="1212">
        <f ca="1"/>
        <v>58.37</v>
      </c>
      <c r="AJ49" s="2" vm="1213">
        <f ca="1"/>
        <v>58.22</v>
      </c>
      <c r="AK49" s="2" vm="1214">
        <f ca="1"/>
        <v>57.41</v>
      </c>
      <c r="AL49" s="2" vm="1215">
        <f ca="1"/>
        <v>57.76</v>
      </c>
      <c r="AM49" s="2" vm="1216">
        <f ca="1"/>
        <v>58.76</v>
      </c>
      <c r="AN49" s="2" vm="1217">
        <f ca="1"/>
        <v>58.01</v>
      </c>
      <c r="AO49" s="2" vm="120">
        <f ca="1"/>
        <v>58.53</v>
      </c>
      <c r="AP49" s="2" vm="1218">
        <f ca="1"/>
        <v>58.91</v>
      </c>
      <c r="AQ49" s="2" vm="1219">
        <f ca="1"/>
        <v>57.6</v>
      </c>
      <c r="AR49" s="2" vm="1220">
        <f ca="1"/>
        <v>57.29</v>
      </c>
      <c r="AS49" s="2" vm="1221">
        <f ca="1"/>
        <v>57.42</v>
      </c>
      <c r="AT49" s="2" vm="1222">
        <f ca="1"/>
        <v>57.82</v>
      </c>
      <c r="AU49" s="2" vm="1223">
        <f ca="1"/>
        <v>57.63</v>
      </c>
      <c r="AV49" s="2">
        <f ca="1">U49/U$4</f>
        <v>9.7212969131689989E-2</v>
      </c>
      <c r="AW49" s="2">
        <f ca="1">V49/V$4</f>
        <v>9.6978459398620098E-2</v>
      </c>
      <c r="AX49" s="2">
        <f ca="1">W49/W$4</f>
        <v>9.6284553289965213E-2</v>
      </c>
      <c r="AY49" s="2">
        <f ca="1">X49/X$4</f>
        <v>9.5920060603874327E-2</v>
      </c>
      <c r="AZ49" s="2">
        <f ca="1">Y49/Y$4</f>
        <v>9.5887960793432175E-2</v>
      </c>
      <c r="BA49" s="2">
        <f ca="1">Z49/Z$4</f>
        <v>9.5834593690503733E-2</v>
      </c>
      <c r="BB49" s="2">
        <f ca="1">AA49/AA$4</f>
        <v>9.6137445810532296E-2</v>
      </c>
      <c r="BC49" s="2">
        <f ca="1">AB49/AB$4</f>
        <v>9.6133695632869803E-2</v>
      </c>
      <c r="BD49" s="2">
        <f ca="1">AC49/AC$4</f>
        <v>9.6081225507659421E-2</v>
      </c>
      <c r="BE49" s="2">
        <f ca="1">AD49/AD$4</f>
        <v>9.6395670601422109E-2</v>
      </c>
      <c r="BF49" s="2">
        <f ca="1">AE49/AE$4</f>
        <v>9.6612406511218649E-2</v>
      </c>
      <c r="BG49" s="2">
        <f ca="1">AF49/AF$4</f>
        <v>9.7108852493548906E-2</v>
      </c>
      <c r="BH49" s="2">
        <f ca="1">AG49/AG$4</f>
        <v>9.9929984246455467E-2</v>
      </c>
      <c r="BI49" s="2">
        <f ca="1">AH49/AH$4</f>
        <v>9.8993053119079369E-2</v>
      </c>
      <c r="BJ49" s="2">
        <f ca="1">AI49/AI$4</f>
        <v>0.10199196225755723</v>
      </c>
      <c r="BK49" s="2">
        <f ca="1">AJ49/AJ$4</f>
        <v>0.1018776138729942</v>
      </c>
      <c r="BL49" s="2">
        <f ca="1">AK49/AK$4</f>
        <v>0.10005925822643613</v>
      </c>
      <c r="BM49" s="2">
        <f ca="1">AL49/AL$4</f>
        <v>0.10157926207308923</v>
      </c>
      <c r="BN49" s="2">
        <f ca="1">AM49/AM$4</f>
        <v>0.10329430791407375</v>
      </c>
      <c r="BO49" s="2">
        <f ca="1">AN49/AN$4</f>
        <v>0.10216265718009226</v>
      </c>
      <c r="BP49" s="2">
        <f ca="1">AO49/AO$4</f>
        <v>0.10215016230933016</v>
      </c>
      <c r="BQ49" s="2">
        <f ca="1">AP49/AP$4</f>
        <v>0.1037513208876365</v>
      </c>
      <c r="BR49" s="2">
        <f ca="1">AQ49/AQ$4</f>
        <v>0.10049374531116424</v>
      </c>
      <c r="BS49" s="2">
        <f ca="1">AR49/AR$4</f>
        <v>9.9265342897737113E-2</v>
      </c>
      <c r="BT49" s="2">
        <f ca="1">AS49/AS$4</f>
        <v>9.9665006161803765E-2</v>
      </c>
      <c r="BU49" s="2"/>
      <c r="BV49" s="2">
        <f ca="1">EOMONTH(TODAY(), -1)</f>
        <v>45565</v>
      </c>
      <c r="BW49" s="2" cm="1" vm="1214">
        <f t="array" aca="1" ref="BW49" ca="1">_xlfn.STOCKHISTORY(P49,BV49, BV49, 0, 0, 1)</f>
        <v>57.41</v>
      </c>
      <c r="BX49" s="7">
        <f ca="1">IF(BW49&lt;&gt;0, (AU49 -BW49) / BW49, "N/A")</f>
        <v>3.8320850026128893E-3</v>
      </c>
      <c r="BY49" s="7"/>
      <c r="BZ49" s="7"/>
      <c r="CA49" s="8">
        <f ca="1">TODAY() - WEEKDAY(TODAY(), 2) + 1</f>
        <v>45579</v>
      </c>
      <c r="CB49" s="7" cm="1" vm="1223">
        <f t="array" aca="1" ref="CB49" ca="1">IFERROR(_xlfn.STOCKHISTORY(P49, WORKDAY(CA49, 0), WORKDAY(CA49, 0), 0, 0, 1), "N/A")</f>
        <v>57.63</v>
      </c>
      <c r="CC49" s="9">
        <f ca="1">IF(CB49&lt;&gt;0, (AU49 - CB49) / CB49, "N/A")</f>
        <v>0</v>
      </c>
      <c r="CD49" s="10">
        <f ca="1">TODAY() - WEEKDAY(TODAY(), 2) - 2</f>
        <v>45576</v>
      </c>
      <c r="CE49" s="11" cm="1" vm="1222">
        <f t="array" aca="1" ref="CE49" ca="1">IFERROR(_xlfn.STOCKHISTORY(P49, WORKDAY(CD49, 0), WORKDAY(CD49, 0), 0, 0, 1), "N/A")</f>
        <v>57.82</v>
      </c>
      <c r="CF49" s="12">
        <f ca="1">IF(CE49&lt;&gt;0, (AU49 - CE49) / CE49, "N/A")</f>
        <v>-3.2860601867865397E-3</v>
      </c>
      <c r="CG49" s="7"/>
      <c r="CH49" s="2"/>
    </row>
    <row r="50" spans="1:116" x14ac:dyDescent="0.4">
      <c r="B50" s="6" t="str">
        <f ca="1">P50 &amp; " - " &amp; S50</f>
        <v>OIH - VanEck:Oil Services</v>
      </c>
      <c r="C50" s="6"/>
      <c r="D50" s="6" cm="1">
        <f t="array" aca="1" ref="D50" ca="1">_FV(O50,"Änderung (%)",TRUE)</f>
        <v>-8.3669999999999994E-3</v>
      </c>
      <c r="E50" s="6">
        <f ca="1">_xlfn.RANK.EQ(D50, D:D, 1) / COUNT(D:D)</f>
        <v>0.14545454545454545</v>
      </c>
      <c r="F50" s="6">
        <f ca="1">PERCENTRANK(AV50:BT50,BT50)</f>
        <v>0.70799999999999996</v>
      </c>
      <c r="G50" s="6">
        <f ca="1">IF(CE50&lt;&gt;0, (AU50 - CE50) / CE50, "N/A")</f>
        <v>-8.3666543462921576E-3</v>
      </c>
      <c r="H50" s="6">
        <f ca="1">(AU50/AP50-1)</f>
        <v>-2.2457767472673029E-2</v>
      </c>
      <c r="I50" s="6">
        <f ca="1">IF(BW50&lt;&gt;0, (AU50 -BW50) / BW50, "N/A")</f>
        <v>4.0217123118677617E-2</v>
      </c>
      <c r="J50" s="6">
        <f ca="1">_xlfn.RANK.EQ(I50, I:I, 1) / COUNT(I:I)</f>
        <v>0.8545454545454545</v>
      </c>
      <c r="K50" s="6">
        <f ca="1">IFERROR((AU50/X50-1), "Error")</f>
        <v>9.8693272774654561E-2</v>
      </c>
      <c r="L50" s="6">
        <f ca="1">_xlfn.RANK.EQ(K50, K:K, 1) / COUNT(K:K)</f>
        <v>0.67272727272727273</v>
      </c>
      <c r="M50" s="6"/>
      <c r="N50" s="6">
        <f ca="1">IF(BW50&lt;&gt;0, (AU50 -BW50) / BW50, "N/A")</f>
        <v>4.0217123118677617E-2</v>
      </c>
      <c r="O50" s="2" t="e" vm="1224">
        <v>#VALUE!</v>
      </c>
      <c r="P50" s="14" t="s">
        <v>31</v>
      </c>
      <c r="Q50" s="2" t="str">
        <f>P50 &amp; ""</f>
        <v>OIH</v>
      </c>
      <c r="R50" s="14" t="s">
        <v>71</v>
      </c>
      <c r="S50" s="2" t="str" cm="1">
        <f t="array" aca="1" ref="S50" ca="1">_FV(O50,"Name")</f>
        <v>VanEck:Oil Services</v>
      </c>
      <c r="T50" s="2" t="str" cm="1">
        <f t="array" aca="1" ref="T50" ca="1">_FV(O50,"Name")</f>
        <v>VanEck:Oil Services</v>
      </c>
      <c r="U50" s="2" cm="1" vm="1225">
        <f t="array" aca="1" ref="U50:AU50" ca="1">TRANSPOSE(_xlfn.STOCKHISTORY(P50, WORKDAY(TODAY(), -27), TODAY(), 0, 0, 1))</f>
        <v>274.44</v>
      </c>
      <c r="V50" s="2" vm="1226">
        <f ca="1"/>
        <v>274.49</v>
      </c>
      <c r="W50" s="2" vm="1227">
        <f ca="1"/>
        <v>268.63</v>
      </c>
      <c r="X50" s="2" vm="1228">
        <f ca="1"/>
        <v>268.61</v>
      </c>
      <c r="Y50" s="2" vm="1229">
        <f ca="1"/>
        <v>270.82</v>
      </c>
      <c r="Z50" s="2" vm="1230">
        <f ca="1"/>
        <v>271.23</v>
      </c>
      <c r="AA50" s="2" vm="1231">
        <f ca="1"/>
        <v>277.12</v>
      </c>
      <c r="AB50" s="2" vm="1232">
        <f ca="1"/>
        <v>285.70999999999998</v>
      </c>
      <c r="AC50" s="2" vm="1233">
        <f ca="1"/>
        <v>283.70999999999998</v>
      </c>
      <c r="AD50" s="2" vm="1234">
        <f ca="1"/>
        <v>290.92</v>
      </c>
      <c r="AE50" s="2" vm="1235">
        <f ca="1"/>
        <v>290.89</v>
      </c>
      <c r="AF50" s="2" vm="1236">
        <f ca="1"/>
        <v>293.31</v>
      </c>
      <c r="AG50" s="2" vm="1237">
        <f ca="1"/>
        <v>293.91000000000003</v>
      </c>
      <c r="AH50" s="2" vm="1238">
        <f ca="1"/>
        <v>284.81</v>
      </c>
      <c r="AI50" s="2" vm="1239">
        <f ca="1"/>
        <v>275.92</v>
      </c>
      <c r="AJ50" s="2" vm="1240">
        <f ca="1"/>
        <v>282.98</v>
      </c>
      <c r="AK50" s="2" vm="1233">
        <f ca="1"/>
        <v>283.70999999999998</v>
      </c>
      <c r="AL50" s="2" vm="1241">
        <f ca="1"/>
        <v>290.60000000000002</v>
      </c>
      <c r="AM50" s="2" vm="1242">
        <f ca="1"/>
        <v>292.05</v>
      </c>
      <c r="AN50" s="2" vm="1243">
        <f ca="1"/>
        <v>298.45999999999998</v>
      </c>
      <c r="AO50" s="2" vm="1244">
        <f ca="1"/>
        <v>301.89999999999998</v>
      </c>
      <c r="AP50" s="2" vm="1244">
        <f ca="1"/>
        <v>301.89999999999998</v>
      </c>
      <c r="AQ50" s="2" vm="1245">
        <f ca="1"/>
        <v>293.61</v>
      </c>
      <c r="AR50" s="2" vm="1246">
        <f ca="1"/>
        <v>292.57</v>
      </c>
      <c r="AS50" s="2" vm="1247">
        <f ca="1"/>
        <v>295</v>
      </c>
      <c r="AT50" s="2" vm="1248">
        <f ca="1"/>
        <v>297.61</v>
      </c>
      <c r="AU50" s="2" vm="1249">
        <f ca="1"/>
        <v>295.12</v>
      </c>
      <c r="AV50" s="2">
        <f ca="1">U50/U$4</f>
        <v>0.50788363313346652</v>
      </c>
      <c r="AW50" s="2">
        <f ca="1">V50/V$4</f>
        <v>0.50235171391445987</v>
      </c>
      <c r="AX50" s="2">
        <f ca="1">W50/W$4</f>
        <v>0.48949507097432537</v>
      </c>
      <c r="AY50" s="2">
        <f ca="1">X50/X$4</f>
        <v>0.48448829407308547</v>
      </c>
      <c r="AZ50" s="2">
        <f ca="1">Y50/Y$4</f>
        <v>0.48439428356794073</v>
      </c>
      <c r="BA50" s="2">
        <f ca="1">Z50/Z$4</f>
        <v>0.48260707104855788</v>
      </c>
      <c r="BB50" s="2">
        <f ca="1">AA50/AA$4</f>
        <v>0.49236017340629662</v>
      </c>
      <c r="BC50" s="2">
        <f ca="1">AB50/AB$4</f>
        <v>0.5074147086507893</v>
      </c>
      <c r="BD50" s="2">
        <f ca="1">AC50/AC$4</f>
        <v>0.5053615960099751</v>
      </c>
      <c r="BE50" s="2">
        <f ca="1">AD50/AD$4</f>
        <v>0.50950996532277837</v>
      </c>
      <c r="BF50" s="2">
        <f ca="1">AE50/AE$4</f>
        <v>0.51190497140343161</v>
      </c>
      <c r="BG50" s="2">
        <f ca="1">AF50/AF$4</f>
        <v>0.51487703407235774</v>
      </c>
      <c r="BH50" s="2">
        <f ca="1">AG50/AG$4</f>
        <v>0.51445825310694915</v>
      </c>
      <c r="BI50" s="2">
        <f ca="1">AH50/AH$4</f>
        <v>0.49963160479966323</v>
      </c>
      <c r="BJ50" s="2">
        <f ca="1">AI50/AI$4</f>
        <v>0.48212475974139446</v>
      </c>
      <c r="BK50" s="2">
        <f ca="1">AJ50/AJ$4</f>
        <v>0.49517909951528516</v>
      </c>
      <c r="BL50" s="2">
        <f ca="1">AK50/AK$4</f>
        <v>0.49447504182933627</v>
      </c>
      <c r="BM50" s="2">
        <f ca="1">AL50/AL$4</f>
        <v>0.51106186908656048</v>
      </c>
      <c r="BN50" s="2">
        <f ca="1">AM50/AM$4</f>
        <v>0.51339521147558276</v>
      </c>
      <c r="BO50" s="2">
        <f ca="1">AN50/AN$4</f>
        <v>0.5256243175654256</v>
      </c>
      <c r="BP50" s="2">
        <f ca="1">AO50/AO$4</f>
        <v>0.52689448148277418</v>
      </c>
      <c r="BQ50" s="2">
        <f ca="1">AP50/AP$4</f>
        <v>0.53170130327580134</v>
      </c>
      <c r="BR50" s="2">
        <f ca="1">AQ50/AQ$4</f>
        <v>0.51225639862518979</v>
      </c>
      <c r="BS50" s="2">
        <f ca="1">AR50/AR$4</f>
        <v>0.50693072737983846</v>
      </c>
      <c r="BT50" s="2">
        <f ca="1">AS50/AS$4</f>
        <v>0.51203721382326906</v>
      </c>
      <c r="BU50" s="2"/>
      <c r="BV50" s="2">
        <f ca="1">EOMONTH(TODAY(), -1)</f>
        <v>45565</v>
      </c>
      <c r="BW50" s="2" cm="1" vm="1233">
        <f t="array" aca="1" ref="BW50" ca="1">_xlfn.STOCKHISTORY(P50,BV50, BV50, 0, 0, 1)</f>
        <v>283.70999999999998</v>
      </c>
      <c r="BX50" s="7">
        <f ca="1">IF(BW50&lt;&gt;0, (AU50 -BW50) / BW50, "N/A")</f>
        <v>4.0217123118677617E-2</v>
      </c>
      <c r="BY50" s="7"/>
      <c r="BZ50" s="7"/>
      <c r="CA50" s="8">
        <f ca="1">TODAY() - WEEKDAY(TODAY(), 2) + 1</f>
        <v>45579</v>
      </c>
      <c r="CB50" s="7" cm="1" vm="1249">
        <f t="array" aca="1" ref="CB50" ca="1">IFERROR(_xlfn.STOCKHISTORY(P50, WORKDAY(CA50, 0), WORKDAY(CA50, 0), 0, 0, 1), "N/A")</f>
        <v>295.12</v>
      </c>
      <c r="CC50" s="9">
        <f ca="1">IF(CB50&lt;&gt;0, (AU50 - CB50) / CB50, "N/A")</f>
        <v>0</v>
      </c>
      <c r="CD50" s="10">
        <f ca="1">TODAY() - WEEKDAY(TODAY(), 2) - 2</f>
        <v>45576</v>
      </c>
      <c r="CE50" s="11" cm="1" vm="1248">
        <f t="array" aca="1" ref="CE50" ca="1">IFERROR(_xlfn.STOCKHISTORY(P50, WORKDAY(CD50, 0), WORKDAY(CD50, 0), 0, 0, 1), "N/A")</f>
        <v>297.61</v>
      </c>
      <c r="CF50" s="12">
        <f ca="1">IF(CE50&lt;&gt;0, (AU50 - CE50) / CE50, "N/A")</f>
        <v>-8.3666543462921576E-3</v>
      </c>
      <c r="CG50" s="7"/>
      <c r="CH50" s="2"/>
    </row>
    <row r="51" spans="1:116" x14ac:dyDescent="0.4">
      <c r="B51" s="6" t="str">
        <f ca="1">P51 &amp; " - " &amp; S51</f>
        <v>EEM - iShares:MSCI Em Mkts</v>
      </c>
      <c r="C51" s="6"/>
      <c r="D51" s="6" cm="1">
        <f t="array" aca="1" ref="D51" ca="1">_FV(O51,"Änderung (%)",TRUE)</f>
        <v>-4.0980000000000001E-3</v>
      </c>
      <c r="E51" s="6">
        <f ca="1">_xlfn.RANK.EQ(D51, D:D, 1) / COUNT(D:D)</f>
        <v>0.18181818181818182</v>
      </c>
      <c r="F51" s="6">
        <f ca="1">PERCENTRANK(AV51:BT51,BT51)</f>
        <v>0.625</v>
      </c>
      <c r="G51" s="6">
        <f ca="1">IF(CE51&lt;&gt;0, (AU51 - CE51) / CE51, "N/A")</f>
        <v>-4.0983606557376557E-3</v>
      </c>
      <c r="H51" s="6">
        <f ca="1">(AU51/AP51-1)</f>
        <v>-2.5126689189189144E-2</v>
      </c>
      <c r="I51" s="6">
        <f ca="1">IF(BW51&lt;&gt;0, (AU51 -BW51) / BW51, "N/A")</f>
        <v>6.7597034452682569E-3</v>
      </c>
      <c r="J51" s="6">
        <f ca="1">_xlfn.RANK.EQ(I51, I:I, 1) / COUNT(I:I)</f>
        <v>0.27272727272727271</v>
      </c>
      <c r="K51" s="6">
        <f ca="1">IFERROR((AU51/X51-1), "Error")</f>
        <v>9.2005676442762585E-2</v>
      </c>
      <c r="L51" s="6">
        <f ca="1">_xlfn.RANK.EQ(K51, K:K, 1) / COUNT(K:K)</f>
        <v>0.58181818181818179</v>
      </c>
      <c r="M51" s="6"/>
      <c r="N51" s="6">
        <f ca="1">IF(BW51&lt;&gt;0, (AU51 -BW51) / BW51, "N/A")</f>
        <v>6.7597034452682569E-3</v>
      </c>
      <c r="O51" s="2" t="e" vm="1250">
        <v>#VALUE!</v>
      </c>
      <c r="P51" s="14" t="s">
        <v>53</v>
      </c>
      <c r="Q51" s="2" t="str">
        <f>P51 &amp; ""</f>
        <v>EEM</v>
      </c>
      <c r="R51" s="14" t="s">
        <v>71</v>
      </c>
      <c r="S51" s="2" t="str" cm="1">
        <f t="array" aca="1" ref="S51" ca="1">_FV(O51,"Name")</f>
        <v>iShares:MSCI Em Mkts</v>
      </c>
      <c r="T51" s="2" t="str" cm="1">
        <f t="array" aca="1" ref="T51" ca="1">_FV(O51,"Name")</f>
        <v>iShares:MSCI Em Mkts</v>
      </c>
      <c r="U51" s="2" cm="1" vm="1251">
        <f t="array" aca="1" ref="U51:AU51" ca="1">TRANSPOSE(_xlfn.STOCKHISTORY(P51, WORKDAY(TODAY(), -27), TODAY(), 0, 0, 1))</f>
        <v>41.78</v>
      </c>
      <c r="V51" s="2" vm="1252">
        <f ca="1"/>
        <v>42.13</v>
      </c>
      <c r="W51" s="2" vm="1253">
        <f ca="1"/>
        <v>41.97</v>
      </c>
      <c r="X51" s="2" vm="1254">
        <f ca="1"/>
        <v>42.28</v>
      </c>
      <c r="Y51" s="2" vm="1255">
        <f ca="1"/>
        <v>42.63</v>
      </c>
      <c r="Z51" s="2" vm="1256">
        <f ca="1"/>
        <v>42.83</v>
      </c>
      <c r="AA51" s="2" vm="1257">
        <f ca="1"/>
        <v>42.97</v>
      </c>
      <c r="AB51" s="2" vm="1258">
        <f ca="1"/>
        <v>43.02</v>
      </c>
      <c r="AC51" s="2" vm="1259">
        <f ca="1"/>
        <v>42.87</v>
      </c>
      <c r="AD51" s="2" vm="1260">
        <f ca="1"/>
        <v>43.78</v>
      </c>
      <c r="AE51" s="2" vm="1261">
        <f ca="1"/>
        <v>43.69</v>
      </c>
      <c r="AF51" s="2" vm="1262">
        <f ca="1"/>
        <v>44.03</v>
      </c>
      <c r="AG51" s="2" vm="1263">
        <f ca="1"/>
        <v>45.53</v>
      </c>
      <c r="AH51" s="2" vm="1264">
        <f ca="1"/>
        <v>45.05</v>
      </c>
      <c r="AI51" s="2" vm="1265">
        <f ca="1"/>
        <v>46.7</v>
      </c>
      <c r="AJ51" s="2" vm="1266">
        <f ca="1"/>
        <v>46.61</v>
      </c>
      <c r="AK51" s="2" vm="1267">
        <f ca="1"/>
        <v>45.86</v>
      </c>
      <c r="AL51" s="2" vm="335">
        <f ca="1"/>
        <v>46.19</v>
      </c>
      <c r="AM51" s="2" vm="1268">
        <f ca="1"/>
        <v>47.1</v>
      </c>
      <c r="AN51" s="2" vm="1269">
        <f ca="1"/>
        <v>46.54</v>
      </c>
      <c r="AO51" s="2" vm="1270">
        <f ca="1"/>
        <v>46.97</v>
      </c>
      <c r="AP51" s="2" vm="1271">
        <f ca="1"/>
        <v>47.36</v>
      </c>
      <c r="AQ51" s="2" vm="335">
        <f ca="1"/>
        <v>46.19</v>
      </c>
      <c r="AR51" s="2" vm="1272">
        <f ca="1"/>
        <v>45.94</v>
      </c>
      <c r="AS51" s="2" vm="57">
        <f ca="1"/>
        <v>46.03</v>
      </c>
      <c r="AT51" s="2" vm="1273">
        <f ca="1"/>
        <v>46.36</v>
      </c>
      <c r="AU51" s="2" vm="1274">
        <f ca="1"/>
        <v>46.17</v>
      </c>
      <c r="AV51" s="2">
        <f ca="1">U51/U$4</f>
        <v>7.7318824487378784E-2</v>
      </c>
      <c r="AW51" s="2">
        <f ca="1">V51/V$4</f>
        <v>7.7103274098204652E-2</v>
      </c>
      <c r="AX51" s="2">
        <f ca="1">W51/W$4</f>
        <v>7.6477341059421639E-2</v>
      </c>
      <c r="AY51" s="2">
        <f ca="1">X51/X$4</f>
        <v>7.6259875184877896E-2</v>
      </c>
      <c r="AZ51" s="2">
        <f ca="1">Y51/Y$4</f>
        <v>7.6248904469763359E-2</v>
      </c>
      <c r="BA51" s="2">
        <f ca="1">Z51/Z$4</f>
        <v>7.6208608387751106E-2</v>
      </c>
      <c r="BB51" s="2">
        <f ca="1">AA51/AA$4</f>
        <v>7.6344964821263586E-2</v>
      </c>
      <c r="BC51" s="2">
        <f ca="1">AB51/AB$4</f>
        <v>7.6402578720230166E-2</v>
      </c>
      <c r="BD51" s="2">
        <f ca="1">AC51/AC$4</f>
        <v>7.6362664766654792E-2</v>
      </c>
      <c r="BE51" s="2">
        <f ca="1">AD51/AD$4</f>
        <v>7.6675190024168977E-2</v>
      </c>
      <c r="BF51" s="2">
        <f ca="1">AE51/AE$4</f>
        <v>7.6885173779146498E-2</v>
      </c>
      <c r="BG51" s="2">
        <f ca="1">AF51/AF$4</f>
        <v>7.7290361086242917E-2</v>
      </c>
      <c r="BH51" s="2">
        <f ca="1">AG51/AG$4</f>
        <v>7.9695431472081232E-2</v>
      </c>
      <c r="BI51" s="2">
        <f ca="1">AH51/AH$4</f>
        <v>7.9029541786541299E-2</v>
      </c>
      <c r="BJ51" s="2">
        <f ca="1">AI51/AI$4</f>
        <v>8.1600559147300383E-2</v>
      </c>
      <c r="BK51" s="2">
        <f ca="1">AJ51/AJ$4</f>
        <v>8.156158678495809E-2</v>
      </c>
      <c r="BL51" s="2">
        <f ca="1">AK51/AK$4</f>
        <v>7.9928890128276628E-2</v>
      </c>
      <c r="BM51" s="2">
        <f ca="1">AL51/AL$4</f>
        <v>8.1231754071260237E-2</v>
      </c>
      <c r="BN51" s="2">
        <f ca="1">AM51/AM$4</f>
        <v>8.2797173293956333E-2</v>
      </c>
      <c r="BO51" s="2">
        <f ca="1">AN51/AN$4</f>
        <v>8.1962593779718915E-2</v>
      </c>
      <c r="BP51" s="2">
        <f ca="1">AO51/AO$4</f>
        <v>8.1974938043212667E-2</v>
      </c>
      <c r="BQ51" s="2">
        <f ca="1">AP51/AP$4</f>
        <v>8.3409651285663966E-2</v>
      </c>
      <c r="BR51" s="2">
        <f ca="1">AQ51/AQ$4</f>
        <v>8.058691138754645E-2</v>
      </c>
      <c r="BS51" s="2">
        <f ca="1">AR51/AR$4</f>
        <v>7.959940395744533E-2</v>
      </c>
      <c r="BT51" s="2">
        <f ca="1">AS51/AS$4</f>
        <v>7.9895162550118901E-2</v>
      </c>
      <c r="BU51" s="2"/>
      <c r="BV51" s="2">
        <f ca="1">EOMONTH(TODAY(), -1)</f>
        <v>45565</v>
      </c>
      <c r="BW51" s="2" cm="1" vm="1267">
        <f t="array" aca="1" ref="BW51" ca="1">_xlfn.STOCKHISTORY(P51,BV51, BV51, 0, 0, 1)</f>
        <v>45.86</v>
      </c>
      <c r="BX51" s="7">
        <f ca="1">IF(BW51&lt;&gt;0, (AU51 -BW51) / BW51, "N/A")</f>
        <v>6.7597034452682569E-3</v>
      </c>
      <c r="BY51" s="7"/>
      <c r="BZ51" s="7"/>
      <c r="CA51" s="8">
        <f ca="1">TODAY() - WEEKDAY(TODAY(), 2) + 1</f>
        <v>45579</v>
      </c>
      <c r="CB51" s="7" cm="1" vm="1274">
        <f t="array" aca="1" ref="CB51" ca="1">IFERROR(_xlfn.STOCKHISTORY(P51, WORKDAY(CA51, 0), WORKDAY(CA51, 0), 0, 0, 1), "N/A")</f>
        <v>46.17</v>
      </c>
      <c r="CC51" s="9">
        <f ca="1">IF(CB51&lt;&gt;0, (AU51 - CB51) / CB51, "N/A")</f>
        <v>0</v>
      </c>
      <c r="CD51" s="10">
        <f ca="1">TODAY() - WEEKDAY(TODAY(), 2) - 2</f>
        <v>45576</v>
      </c>
      <c r="CE51" s="11" cm="1" vm="1273">
        <f t="array" aca="1" ref="CE51" ca="1">IFERROR(_xlfn.STOCKHISTORY(P51, WORKDAY(CD51, 0), WORKDAY(CD51, 0), 0, 0, 1), "N/A")</f>
        <v>46.36</v>
      </c>
      <c r="CF51" s="12">
        <f ca="1">IF(CE51&lt;&gt;0, (AU51 - CE51) / CE51, "N/A")</f>
        <v>-4.0983606557376557E-3</v>
      </c>
      <c r="CG51" s="7"/>
      <c r="CH51" s="2"/>
    </row>
    <row r="52" spans="1:116" x14ac:dyDescent="0.4">
      <c r="B52" s="6" t="str">
        <f ca="1">P52 &amp; " - " &amp; S52</f>
        <v>VWO - Vanguard EM St I;ETF</v>
      </c>
      <c r="C52" s="6"/>
      <c r="D52" s="6" cm="1">
        <f t="array" aca="1" ref="D52" ca="1">_FV(O52,"Änderung (%)",TRUE)</f>
        <v>-4.777E-3</v>
      </c>
      <c r="E52" s="6">
        <f ca="1">_xlfn.RANK.EQ(D52, D:D, 1) / COUNT(D:D)</f>
        <v>0.16363636363636364</v>
      </c>
      <c r="F52" s="6">
        <f ca="1">PERCENTRANK(AV52:BT52,BT52)</f>
        <v>0.625</v>
      </c>
      <c r="G52" s="6">
        <f ca="1">IF(CE52&lt;&gt;0, (AU52 - CE52) / CE52, "N/A")</f>
        <v>-4.7767393561785436E-3</v>
      </c>
      <c r="H52" s="6">
        <f ca="1">(AU52/AP52-1)</f>
        <v>-3.1723580521317407E-2</v>
      </c>
      <c r="I52" s="6">
        <f ca="1">IF(BW52&lt;&gt;0, (AU52 -BW52) / BW52, "N/A")</f>
        <v>1.4629049111807792E-3</v>
      </c>
      <c r="J52" s="6">
        <f ca="1">_xlfn.RANK.EQ(I52, I:I, 1) / COUNT(I:I)</f>
        <v>0.18181818181818182</v>
      </c>
      <c r="K52" s="6">
        <f ca="1">IFERROR((AU52/X52-1), "Error")</f>
        <v>8.9833977712076463E-2</v>
      </c>
      <c r="L52" s="6">
        <f ca="1">_xlfn.RANK.EQ(K52, K:K, 1) / COUNT(K:K)</f>
        <v>0.54545454545454541</v>
      </c>
      <c r="M52" s="6"/>
      <c r="N52" s="6">
        <f ca="1">IF(BW52&lt;&gt;0, (AU52 -BW52) / BW52, "N/A")</f>
        <v>1.4629049111807792E-3</v>
      </c>
      <c r="O52" s="2" t="e" vm="1275">
        <v>#VALUE!</v>
      </c>
      <c r="P52" s="14" t="s">
        <v>59</v>
      </c>
      <c r="Q52" s="2" t="str">
        <f>P52 &amp; ""</f>
        <v>VWO</v>
      </c>
      <c r="R52" s="14" t="s">
        <v>71</v>
      </c>
      <c r="S52" s="2" t="str" cm="1">
        <f t="array" aca="1" ref="S52" ca="1">_FV(O52,"Name")</f>
        <v>Vanguard EM St I;ETF</v>
      </c>
      <c r="T52" s="2" t="str" cm="1">
        <f t="array" aca="1" ref="T52" ca="1">_FV(O52,"Name")</f>
        <v>Vanguard EM St I;ETF</v>
      </c>
      <c r="U52" s="2" cm="1" vm="1276">
        <f t="array" aca="1" ref="U52:AU52" ca="1">TRANSPOSE(_xlfn.STOCKHISTORY(P52, WORKDAY(TODAY(), -27), TODAY(), 0, 0, 1))</f>
        <v>43.5</v>
      </c>
      <c r="V52" s="2" vm="1277">
        <f ca="1"/>
        <v>43.8</v>
      </c>
      <c r="W52" s="2" vm="1278">
        <f ca="1"/>
        <v>43.7</v>
      </c>
      <c r="X52" s="2" vm="1279">
        <f ca="1"/>
        <v>43.97</v>
      </c>
      <c r="Y52" s="2" vm="1280">
        <f ca="1"/>
        <v>44.26</v>
      </c>
      <c r="Z52" s="2" vm="1281">
        <f ca="1"/>
        <v>44.46</v>
      </c>
      <c r="AA52" s="2" vm="389">
        <f ca="1"/>
        <v>44.63</v>
      </c>
      <c r="AB52" s="2" vm="1282">
        <f ca="1"/>
        <v>44.68</v>
      </c>
      <c r="AC52" s="2" vm="1283">
        <f ca="1"/>
        <v>44.52</v>
      </c>
      <c r="AD52" s="2" vm="1284">
        <f ca="1"/>
        <v>45.45</v>
      </c>
      <c r="AE52" s="2" vm="1285">
        <f ca="1"/>
        <v>45.29</v>
      </c>
      <c r="AF52" s="2" vm="1286">
        <f ca="1"/>
        <v>45.66</v>
      </c>
      <c r="AG52" s="2" vm="1287">
        <f ca="1"/>
        <v>47.25</v>
      </c>
      <c r="AH52" s="2" vm="1288">
        <f ca="1"/>
        <v>46.77</v>
      </c>
      <c r="AI52" s="2" vm="70">
        <f ca="1"/>
        <v>48.26</v>
      </c>
      <c r="AJ52" s="2" vm="66">
        <f ca="1"/>
        <v>48.25</v>
      </c>
      <c r="AK52" s="2" vm="1289">
        <f ca="1"/>
        <v>47.85</v>
      </c>
      <c r="AL52" s="2" vm="1290">
        <f ca="1"/>
        <v>48.21</v>
      </c>
      <c r="AM52" s="2" vm="1291">
        <f ca="1"/>
        <v>49.21</v>
      </c>
      <c r="AN52" s="2" vm="1292">
        <f ca="1"/>
        <v>48.47</v>
      </c>
      <c r="AO52" s="2" vm="1293">
        <f ca="1"/>
        <v>49.06</v>
      </c>
      <c r="AP52" s="2" vm="1294">
        <f ca="1"/>
        <v>49.49</v>
      </c>
      <c r="AQ52" s="2" vm="1295">
        <f ca="1"/>
        <v>48.04</v>
      </c>
      <c r="AR52" s="2" vm="1296">
        <f ca="1"/>
        <v>47.71</v>
      </c>
      <c r="AS52" s="2" vm="1297">
        <f ca="1"/>
        <v>47.81</v>
      </c>
      <c r="AT52" s="2" vm="1298">
        <f ca="1"/>
        <v>48.15</v>
      </c>
      <c r="AU52" s="2" vm="350">
        <f ca="1"/>
        <v>47.92</v>
      </c>
      <c r="AV52" s="2">
        <f ca="1">U52/U$4</f>
        <v>8.0501887630468574E-2</v>
      </c>
      <c r="AW52" s="2">
        <f ca="1">V52/V$4</f>
        <v>8.0159587123222492E-2</v>
      </c>
      <c r="AX52" s="2">
        <f ca="1">W52/W$4</f>
        <v>7.9629730862442835E-2</v>
      </c>
      <c r="AY52" s="2">
        <f ca="1">X52/X$4</f>
        <v>7.9308105768190182E-2</v>
      </c>
      <c r="AZ52" s="2">
        <f ca="1">Y52/Y$4</f>
        <v>7.9164356364807092E-2</v>
      </c>
      <c r="BA52" s="2">
        <f ca="1">Z52/Z$4</f>
        <v>7.9108912652799776E-2</v>
      </c>
      <c r="BB52" s="2">
        <f ca="1">AA52/AA$4</f>
        <v>7.9294293227204896E-2</v>
      </c>
      <c r="BC52" s="2">
        <f ca="1">AB52/AB$4</f>
        <v>7.9350702399346426E-2</v>
      </c>
      <c r="BD52" s="2">
        <f ca="1">AC52/AC$4</f>
        <v>7.9301745635910234E-2</v>
      </c>
      <c r="BE52" s="2">
        <f ca="1">AD52/AD$4</f>
        <v>7.9599985989001365E-2</v>
      </c>
      <c r="BF52" s="2">
        <f ca="1">AE52/AE$4</f>
        <v>7.9700835899692041E-2</v>
      </c>
      <c r="BG52" s="2">
        <f ca="1">AF52/AF$4</f>
        <v>8.0151666754436773E-2</v>
      </c>
      <c r="BH52" s="2">
        <f ca="1">AG52/AG$4</f>
        <v>8.2706108874496767E-2</v>
      </c>
      <c r="BI52" s="2">
        <f ca="1">AH52/AH$4</f>
        <v>8.2046873903585726E-2</v>
      </c>
      <c r="BJ52" s="2">
        <f ca="1">AI52/AI$4</f>
        <v>8.4326402236589201E-2</v>
      </c>
      <c r="BK52" s="2">
        <f ca="1">AJ52/AJ$4</f>
        <v>8.443137872504243E-2</v>
      </c>
      <c r="BL52" s="2">
        <f ca="1">AK52/AK$4</f>
        <v>8.3397239263803685E-2</v>
      </c>
      <c r="BM52" s="2">
        <f ca="1">AL52/AL$4</f>
        <v>8.4784214413844039E-2</v>
      </c>
      <c r="BN52" s="2">
        <f ca="1">AM52/AM$4</f>
        <v>8.6506346025384095E-2</v>
      </c>
      <c r="BO52" s="2">
        <f ca="1">AN52/AN$4</f>
        <v>8.5361558240287405E-2</v>
      </c>
      <c r="BP52" s="2">
        <f ca="1">AO52/AO$4</f>
        <v>8.562253481796922E-2</v>
      </c>
      <c r="BQ52" s="2">
        <f ca="1">AP52/AP$4</f>
        <v>8.7160972173300474E-2</v>
      </c>
      <c r="BR52" s="2">
        <f ca="1">AQ52/AQ$4</f>
        <v>8.3814575082436282E-2</v>
      </c>
      <c r="BS52" s="2">
        <f ca="1">AR52/AR$4</f>
        <v>8.2666250823023882E-2</v>
      </c>
      <c r="BT52" s="2">
        <f ca="1">AS52/AS$4</f>
        <v>8.2984743026747437E-2</v>
      </c>
      <c r="BU52" s="2"/>
      <c r="BV52" s="2">
        <f ca="1">EOMONTH(TODAY(), -1)</f>
        <v>45565</v>
      </c>
      <c r="BW52" s="2" cm="1" vm="1289">
        <f t="array" aca="1" ref="BW52" ca="1">_xlfn.STOCKHISTORY(P52,BV52, BV52, 0, 0, 1)</f>
        <v>47.85</v>
      </c>
      <c r="BX52" s="7">
        <f ca="1">IF(BW52&lt;&gt;0, (AU52 -BW52) / BW52, "N/A")</f>
        <v>1.4629049111807792E-3</v>
      </c>
      <c r="BY52" s="7"/>
      <c r="BZ52" s="7"/>
      <c r="CA52" s="8">
        <f ca="1">TODAY() - WEEKDAY(TODAY(), 2) + 1</f>
        <v>45579</v>
      </c>
      <c r="CB52" s="7" cm="1" vm="350">
        <f t="array" aca="1" ref="CB52" ca="1">IFERROR(_xlfn.STOCKHISTORY(P52, WORKDAY(CA52, 0), WORKDAY(CA52, 0), 0, 0, 1), "N/A")</f>
        <v>47.92</v>
      </c>
      <c r="CC52" s="9">
        <f ca="1">IF(CB52&lt;&gt;0, (AU52 - CB52) / CB52, "N/A")</f>
        <v>0</v>
      </c>
      <c r="CD52" s="10">
        <f ca="1">TODAY() - WEEKDAY(TODAY(), 2) - 2</f>
        <v>45576</v>
      </c>
      <c r="CE52" s="11" cm="1" vm="1298">
        <f t="array" aca="1" ref="CE52" ca="1">IFERROR(_xlfn.STOCKHISTORY(P52, WORKDAY(CD52, 0), WORKDAY(CD52, 0), 0, 0, 1), "N/A")</f>
        <v>48.15</v>
      </c>
      <c r="CF52" s="12">
        <f ca="1">IF(CE52&lt;&gt;0, (AU52 - CE52) / CE52, "N/A")</f>
        <v>-4.7767393561785436E-3</v>
      </c>
      <c r="CG52" s="7"/>
      <c r="CH52" s="2"/>
    </row>
    <row r="53" spans="1:116" x14ac:dyDescent="0.4">
      <c r="B53" s="6" t="str">
        <f ca="1">P53 &amp; " - " &amp; S53</f>
        <v>SPEM - SPDR Ptf Em Markets</v>
      </c>
      <c r="C53" s="6"/>
      <c r="D53" s="6" cm="1">
        <f t="array" aca="1" ref="D53" ca="1">_FV(O53,"Änderung (%)",TRUE)</f>
        <v>-3.13E-3</v>
      </c>
      <c r="E53" s="6">
        <f ca="1">_xlfn.RANK.EQ(D53, D:D, 1) / COUNT(D:D)</f>
        <v>0.23636363636363636</v>
      </c>
      <c r="F53" s="6">
        <f ca="1">PERCENTRANK(AV53:BT53,BT53)</f>
        <v>0.625</v>
      </c>
      <c r="G53" s="6">
        <f ca="1">IF(CE53&lt;&gt;0, (AU53 - CE53) / CE53, "N/A")</f>
        <v>-3.1295137217140722E-3</v>
      </c>
      <c r="H53" s="6">
        <f ca="1">(AU53/AP53-1)</f>
        <v>-3.2928538066324231E-2</v>
      </c>
      <c r="I53" s="6">
        <f ca="1">IF(BW53&lt;&gt;0, (AU53 -BW53) / BW53, "N/A")</f>
        <v>3.1492248062014402E-3</v>
      </c>
      <c r="J53" s="6">
        <f ca="1">_xlfn.RANK.EQ(I53, I:I, 1) / COUNT(I:I)</f>
        <v>0.2</v>
      </c>
      <c r="K53" s="6">
        <f ca="1">IFERROR((AU53/X53-1), "Error")</f>
        <v>9.290050145157025E-2</v>
      </c>
      <c r="L53" s="6">
        <f ca="1">_xlfn.RANK.EQ(K53, K:K, 1) / COUNT(K:K)</f>
        <v>0.61818181818181817</v>
      </c>
      <c r="M53" s="6"/>
      <c r="N53" s="6">
        <f ca="1">IF(BW53&lt;&gt;0, (AU53 -BW53) / BW53, "N/A")</f>
        <v>3.1492248062014402E-3</v>
      </c>
      <c r="O53" s="2" t="e" vm="1299">
        <v>#VALUE!</v>
      </c>
      <c r="P53" s="14" t="s">
        <v>57</v>
      </c>
      <c r="Q53" s="2" t="str">
        <f>P53 &amp; ""</f>
        <v>SPEM</v>
      </c>
      <c r="R53" s="14" t="s">
        <v>71</v>
      </c>
      <c r="S53" s="2" t="str" cm="1">
        <f t="array" aca="1" ref="S53" ca="1">_FV(O53,"Name")</f>
        <v>SPDR Ptf Em Markets</v>
      </c>
      <c r="T53" s="2" t="str" cm="1">
        <f t="array" aca="1" ref="T53" ca="1">_FV(O53,"Name")</f>
        <v>SPDR Ptf Em Markets</v>
      </c>
      <c r="U53" s="2" cm="1" vm="52">
        <f t="array" aca="1" ref="U53:AU53" ca="1">TRANSPOSE(_xlfn.STOCKHISTORY(P53, WORKDAY(TODAY(), -27), TODAY(), 0, 0, 1))</f>
        <v>37.42</v>
      </c>
      <c r="V53" s="2" vm="1300">
        <f ca="1"/>
        <v>37.72</v>
      </c>
      <c r="W53" s="2" vm="51">
        <f ca="1"/>
        <v>37.65</v>
      </c>
      <c r="X53" s="2" vm="1301">
        <f ca="1"/>
        <v>37.89</v>
      </c>
      <c r="Y53" s="2" vm="1302">
        <f ca="1"/>
        <v>38.15</v>
      </c>
      <c r="Z53" s="2" vm="1303">
        <f ca="1"/>
        <v>38.31</v>
      </c>
      <c r="AA53" s="2" vm="1304">
        <f ca="1"/>
        <v>38.450000000000003</v>
      </c>
      <c r="AB53" s="2" vm="1305">
        <f ca="1"/>
        <v>38.5</v>
      </c>
      <c r="AC53" s="2" vm="1306">
        <f ca="1"/>
        <v>38.4</v>
      </c>
      <c r="AD53" s="2" vm="1307">
        <f ca="1"/>
        <v>39.200000000000003</v>
      </c>
      <c r="AE53" s="2" vm="1308">
        <f ca="1"/>
        <v>39.14</v>
      </c>
      <c r="AF53" s="2" vm="1309">
        <f ca="1"/>
        <v>39.44</v>
      </c>
      <c r="AG53" s="2" vm="1310">
        <f ca="1"/>
        <v>40.799999999999997</v>
      </c>
      <c r="AH53" s="2" vm="1311">
        <f ca="1"/>
        <v>40.380000000000003</v>
      </c>
      <c r="AI53" s="2" vm="1312">
        <f ca="1"/>
        <v>41.68</v>
      </c>
      <c r="AJ53" s="2" vm="1313">
        <f ca="1"/>
        <v>41.66</v>
      </c>
      <c r="AK53" s="2" vm="1314">
        <f ca="1"/>
        <v>41.28</v>
      </c>
      <c r="AL53" s="2" vm="1315">
        <f ca="1"/>
        <v>41.67</v>
      </c>
      <c r="AM53" s="2" vm="1316">
        <f ca="1"/>
        <v>42.42</v>
      </c>
      <c r="AN53" s="2" vm="1317">
        <f ca="1"/>
        <v>41.9</v>
      </c>
      <c r="AO53" s="2" vm="1318">
        <f ca="1"/>
        <v>42.34</v>
      </c>
      <c r="AP53" s="2" vm="1319">
        <f ca="1"/>
        <v>42.82</v>
      </c>
      <c r="AQ53" s="2" vm="1320">
        <f ca="1"/>
        <v>41.54</v>
      </c>
      <c r="AR53" s="2" vm="1321">
        <f ca="1"/>
        <v>41.25</v>
      </c>
      <c r="AS53" s="2" vm="780">
        <f ca="1"/>
        <v>41.31</v>
      </c>
      <c r="AT53" s="2" vm="1320">
        <f ca="1"/>
        <v>41.54</v>
      </c>
      <c r="AU53" s="2" vm="779">
        <f ca="1"/>
        <v>41.41</v>
      </c>
      <c r="AV53" s="2">
        <f ca="1">U53/U$4</f>
        <v>6.9250129543267452E-2</v>
      </c>
      <c r="AW53" s="2">
        <f ca="1">V53/V$4</f>
        <v>6.9032411559085669E-2</v>
      </c>
      <c r="AX53" s="2">
        <f ca="1">W53/W$4</f>
        <v>6.8605477505056578E-2</v>
      </c>
      <c r="AY53" s="2">
        <f ca="1">X53/X$4</f>
        <v>6.8341690415208697E-2</v>
      </c>
      <c r="AZ53" s="2">
        <f ca="1">Y53/Y$4</f>
        <v>6.8235883310379358E-2</v>
      </c>
      <c r="BA53" s="2">
        <f ca="1">Z53/Z$4</f>
        <v>6.816604686749346E-2</v>
      </c>
      <c r="BB53" s="2">
        <f ca="1">AA53/AA$4</f>
        <v>6.8314263378580056E-2</v>
      </c>
      <c r="BC53" s="2">
        <f ca="1">AB53/AB$4</f>
        <v>6.8375157618058138E-2</v>
      </c>
      <c r="BD53" s="2">
        <f ca="1">AC53/AC$4</f>
        <v>6.840042750267189E-2</v>
      </c>
      <c r="BE53" s="2">
        <f ca="1">AD53/AD$4</f>
        <v>6.8653893306245412E-2</v>
      </c>
      <c r="BF53" s="2">
        <f ca="1">AE53/AE$4</f>
        <v>6.8878134623845136E-2</v>
      </c>
      <c r="BG53" s="2">
        <f ca="1">AF53/AF$4</f>
        <v>6.9233064756789017E-2</v>
      </c>
      <c r="BH53" s="2">
        <f ca="1">AG53/AG$4</f>
        <v>7.1416068615438477E-2</v>
      </c>
      <c r="BI53" s="2">
        <f ca="1">AH53/AH$4</f>
        <v>7.0837134236193963E-2</v>
      </c>
      <c r="BJ53" s="2">
        <f ca="1">AI53/AI$4</f>
        <v>7.2828935872794001E-2</v>
      </c>
      <c r="BK53" s="2">
        <f ca="1">AJ53/AJ$4</f>
        <v>7.2899714770679122E-2</v>
      </c>
      <c r="BL53" s="2">
        <f ca="1">AK53/AK$4</f>
        <v>7.1946458449525935E-2</v>
      </c>
      <c r="BM53" s="2">
        <f ca="1">AL53/AL$4</f>
        <v>7.3282684393795511E-2</v>
      </c>
      <c r="BN53" s="2">
        <f ca="1">AM53/AM$4</f>
        <v>7.4570193017614181E-2</v>
      </c>
      <c r="BO53" s="2">
        <f ca="1">AN53/AN$4</f>
        <v>7.3790990102497261E-2</v>
      </c>
      <c r="BP53" s="2">
        <f ca="1">AO53/AO$4</f>
        <v>7.3894376767077385E-2</v>
      </c>
      <c r="BQ53" s="2">
        <f ca="1">AP53/AP$4</f>
        <v>7.5413878126100745E-2</v>
      </c>
      <c r="BR53" s="2">
        <f ca="1">AQ53/AQ$4</f>
        <v>7.2474135073363921E-2</v>
      </c>
      <c r="BS53" s="2">
        <f ca="1">AR53/AR$4</f>
        <v>7.1473126104584672E-2</v>
      </c>
      <c r="BT53" s="2">
        <f ca="1">AS53/AS$4</f>
        <v>7.1702567128946598E-2</v>
      </c>
      <c r="BU53" s="2"/>
      <c r="BV53" s="2">
        <f ca="1">EOMONTH(TODAY(), -1)</f>
        <v>45565</v>
      </c>
      <c r="BW53" s="2" cm="1" vm="1314">
        <f t="array" aca="1" ref="BW53" ca="1">_xlfn.STOCKHISTORY(P53,BV53, BV53, 0, 0, 1)</f>
        <v>41.28</v>
      </c>
      <c r="BX53" s="7">
        <f ca="1">IF(BW53&lt;&gt;0, (AU53 -BW53) / BW53, "N/A")</f>
        <v>3.1492248062014402E-3</v>
      </c>
      <c r="BY53" s="7"/>
      <c r="BZ53" s="7"/>
      <c r="CA53" s="8">
        <f ca="1">TODAY() - WEEKDAY(TODAY(), 2) + 1</f>
        <v>45579</v>
      </c>
      <c r="CB53" s="7" cm="1" vm="779">
        <f t="array" aca="1" ref="CB53" ca="1">IFERROR(_xlfn.STOCKHISTORY(P53, WORKDAY(CA53, 0), WORKDAY(CA53, 0), 0, 0, 1), "N/A")</f>
        <v>41.41</v>
      </c>
      <c r="CC53" s="9">
        <f ca="1">IF(CB53&lt;&gt;0, (AU53 - CB53) / CB53, "N/A")</f>
        <v>0</v>
      </c>
      <c r="CD53" s="10">
        <f ca="1">TODAY() - WEEKDAY(TODAY(), 2) - 2</f>
        <v>45576</v>
      </c>
      <c r="CE53" s="11" cm="1" vm="1320">
        <f t="array" aca="1" ref="CE53" ca="1">IFERROR(_xlfn.STOCKHISTORY(P53, WORKDAY(CD53, 0), WORKDAY(CD53, 0), 0, 0, 1), "N/A")</f>
        <v>41.54</v>
      </c>
      <c r="CF53" s="12">
        <f ca="1">IF(CE53&lt;&gt;0, (AU53 - CE53) / CE53, "N/A")</f>
        <v>-3.1295137217140722E-3</v>
      </c>
      <c r="CG53" s="7"/>
      <c r="CH53" s="2"/>
    </row>
    <row r="54" spans="1:116" x14ac:dyDescent="0.4">
      <c r="B54" s="6" t="str">
        <f ca="1">P54 &amp; " - " &amp; S54</f>
        <v>USO - United States Oil Fund</v>
      </c>
      <c r="C54" s="6"/>
      <c r="D54" s="6" cm="1">
        <f t="array" aca="1" ref="D54" ca="1">_FV(O54,"Änderung (%)",TRUE)</f>
        <v>-2.0131999999999997E-2</v>
      </c>
      <c r="E54" s="6">
        <f ca="1">_xlfn.RANK.EQ(D54, D:D, 1) / COUNT(D:D)</f>
        <v>7.2727272727272724E-2</v>
      </c>
      <c r="F54" s="6">
        <f ca="1">PERCENTRANK(AV54:BT54,BT54)</f>
        <v>0.95799999999999996</v>
      </c>
      <c r="G54" s="6">
        <f ca="1">IF(CE54&lt;&gt;0, (AU54 - CE54) / CE54, "N/A")</f>
        <v>-2.0131629887727296E-2</v>
      </c>
      <c r="H54" s="6">
        <f ca="1">(AU54/AP54-1)</f>
        <v>-4.1287878787878762E-2</v>
      </c>
      <c r="I54" s="6">
        <f ca="1">IF(BW54&lt;&gt;0, (AU54 -BW54) / BW54, "N/A")</f>
        <v>8.5955377574370787E-2</v>
      </c>
      <c r="J54" s="6">
        <f ca="1">_xlfn.RANK.EQ(I54, I:I, 1) / COUNT(I:I)</f>
        <v>1</v>
      </c>
      <c r="K54" s="6">
        <f ca="1">IFERROR((AU54/X54-1), "Error")</f>
        <v>0.11908621960206367</v>
      </c>
      <c r="L54" s="6">
        <f ca="1">_xlfn.RANK.EQ(K54, K:K, 1) / COUNT(K:K)</f>
        <v>0.78181818181818186</v>
      </c>
      <c r="M54" s="6"/>
      <c r="N54" s="6">
        <f ca="1">IF(BW54&lt;&gt;0, (AU54 -BW54) / BW54, "N/A")</f>
        <v>8.5955377574370787E-2</v>
      </c>
      <c r="O54" s="2" t="e" vm="1322">
        <v>#VALUE!</v>
      </c>
      <c r="P54" s="14" t="str" cm="1">
        <f t="array" aca="1" ref="P54" ca="1">_FV(O54,"Ticker-Symbol",TRUE)</f>
        <v>USO</v>
      </c>
      <c r="Q54" s="14" t="str">
        <f ca="1">P54 &amp; ""</f>
        <v>USO</v>
      </c>
      <c r="R54" s="14" t="s">
        <v>71</v>
      </c>
      <c r="S54" s="2" t="str" cm="1">
        <f t="array" aca="1" ref="S54" ca="1">_FV(O54,"Name")</f>
        <v>United States Oil Fund</v>
      </c>
      <c r="T54" s="2" t="str" cm="1">
        <f t="array" aca="1" ref="T54" ca="1">_FV(O54,"Name")</f>
        <v>United States Oil Fund</v>
      </c>
      <c r="U54" s="2" cm="1" vm="105">
        <f t="array" aca="1" ref="U54:AU54" ca="1">IFERROR(TRANSPOSE(_xlfn.STOCKHISTORY(P54, WORKDAY(TODAY(), -27), TODAY(), 0, 0, 1)), "No Data")</f>
        <v>68.930000000000007</v>
      </c>
      <c r="V54" s="2" vm="1323">
        <f ca="1"/>
        <v>69.27</v>
      </c>
      <c r="W54" s="2" vm="1324">
        <f ca="1"/>
        <v>66.959999999999994</v>
      </c>
      <c r="X54" s="2" vm="1325">
        <f ca="1"/>
        <v>67.849999999999994</v>
      </c>
      <c r="Y54" s="2" vm="1326">
        <f ca="1"/>
        <v>69.89</v>
      </c>
      <c r="Z54" s="2" vm="1327">
        <f ca="1"/>
        <v>69.84</v>
      </c>
      <c r="AA54" s="2" vm="1328">
        <f ca="1"/>
        <v>70.88</v>
      </c>
      <c r="AB54" s="2" vm="1329">
        <f ca="1"/>
        <v>71.72</v>
      </c>
      <c r="AC54" s="2" vm="1330">
        <f ca="1"/>
        <v>70.66</v>
      </c>
      <c r="AD54" s="2" vm="1331">
        <f ca="1"/>
        <v>72.75</v>
      </c>
      <c r="AE54" s="2" vm="1332">
        <f ca="1"/>
        <v>72.92</v>
      </c>
      <c r="AF54" s="2" vm="1333">
        <f ca="1"/>
        <v>72.25</v>
      </c>
      <c r="AG54" s="2" vm="1334">
        <f ca="1"/>
        <v>73.290000000000006</v>
      </c>
      <c r="AH54" s="2" vm="1335">
        <f ca="1"/>
        <v>71.48</v>
      </c>
      <c r="AI54" s="2" vm="1336">
        <f ca="1"/>
        <v>69.010000000000005</v>
      </c>
      <c r="AJ54" s="2" vm="1337">
        <f ca="1"/>
        <v>70.27</v>
      </c>
      <c r="AK54" s="2" vm="929">
        <f ca="1"/>
        <v>69.92</v>
      </c>
      <c r="AL54" s="2" vm="1338">
        <f ca="1"/>
        <v>72.11</v>
      </c>
      <c r="AM54" s="2" vm="1339">
        <f ca="1"/>
        <v>72.760000000000005</v>
      </c>
      <c r="AN54" s="2" vm="1340">
        <f ca="1"/>
        <v>75.73</v>
      </c>
      <c r="AO54" s="2" vm="1341">
        <f ca="1"/>
        <v>76.349999999999994</v>
      </c>
      <c r="AP54" s="2" vm="1342">
        <f ca="1"/>
        <v>79.2</v>
      </c>
      <c r="AQ54" s="2" vm="1343">
        <f ca="1"/>
        <v>75.790000000000006</v>
      </c>
      <c r="AR54" s="2" vm="1344">
        <f ca="1"/>
        <v>75.25</v>
      </c>
      <c r="AS54" s="2" vm="1345">
        <f ca="1"/>
        <v>77.77</v>
      </c>
      <c r="AT54" s="2" vm="1346">
        <f ca="1"/>
        <v>77.489999999999995</v>
      </c>
      <c r="AU54" s="2" vm="1347">
        <f ca="1"/>
        <v>75.930000000000007</v>
      </c>
      <c r="AV54" s="2">
        <f ca="1">U54/U$4</f>
        <v>0.12756310607742988</v>
      </c>
      <c r="AW54" s="2">
        <f ca="1">V54/V$4</f>
        <v>0.12677293607364434</v>
      </c>
      <c r="AX54" s="2">
        <f ca="1">W54/W$4</f>
        <v>0.1220138850926584</v>
      </c>
      <c r="AY54" s="2">
        <f ca="1">X54/X$4</f>
        <v>0.12238014501641355</v>
      </c>
      <c r="AZ54" s="2">
        <f ca="1">Y54/Y$4</f>
        <v>0.12500670732797939</v>
      </c>
      <c r="BA54" s="2">
        <f ca="1">Z54/Z$4</f>
        <v>0.12426825145460046</v>
      </c>
      <c r="BB54" s="2">
        <f ca="1">AA54/AA$4</f>
        <v>0.1259327695259754</v>
      </c>
      <c r="BC54" s="2">
        <f ca="1">AB54/AB$4</f>
        <v>0.12737315076278258</v>
      </c>
      <c r="BD54" s="2">
        <f ca="1">AC54/AC$4</f>
        <v>0.1258639116494478</v>
      </c>
      <c r="BE54" s="2">
        <f ca="1">AD54/AD$4</f>
        <v>0.12741251882727941</v>
      </c>
      <c r="BF54" s="2">
        <f ca="1">AE54/AE$4</f>
        <v>0.12832380114386274</v>
      </c>
      <c r="BG54" s="2">
        <f ca="1">AF54/AF$4</f>
        <v>0.12682781259325576</v>
      </c>
      <c r="BH54" s="2">
        <f ca="1">AG54/AG$4</f>
        <v>0.12828636443199723</v>
      </c>
      <c r="BI54" s="2">
        <f ca="1">AH54/AH$4</f>
        <v>0.12539470914321804</v>
      </c>
      <c r="BJ54" s="2">
        <f ca="1">AI54/AI$4</f>
        <v>0.12058360999475801</v>
      </c>
      <c r="BK54" s="2">
        <f ca="1">AJ54/AJ$4</f>
        <v>0.12296358514007732</v>
      </c>
      <c r="BL54" s="2">
        <f ca="1">AK54/AK$4</f>
        <v>0.12186279977691021</v>
      </c>
      <c r="BM54" s="2">
        <f ca="1">AL54/AL$4</f>
        <v>0.12681579965530582</v>
      </c>
      <c r="BN54" s="2">
        <f ca="1">AM54/AM$4</f>
        <v>0.12790493267236228</v>
      </c>
      <c r="BO54" s="2">
        <f ca="1">AN54/AN$4</f>
        <v>0.13336972984396464</v>
      </c>
      <c r="BP54" s="2">
        <f ca="1">AO54/AO$4</f>
        <v>0.1332507242835701</v>
      </c>
      <c r="BQ54" s="2">
        <f ca="1">AP54/AP$4</f>
        <v>0.13948573441352591</v>
      </c>
      <c r="BR54" s="2">
        <f ca="1">AQ54/AQ$4</f>
        <v>0.13222953050578365</v>
      </c>
      <c r="BS54" s="2">
        <f ca="1">AR54/AR$4</f>
        <v>0.13038430883321206</v>
      </c>
      <c r="BT54" s="2">
        <f ca="1">AS54/AS$4</f>
        <v>0.13498689531876484</v>
      </c>
      <c r="BU54" s="2"/>
      <c r="BV54" s="2">
        <f ca="1">EOMONTH(TODAY(), -1)</f>
        <v>45565</v>
      </c>
      <c r="BW54" s="2" cm="1" vm="929">
        <f t="array" aca="1" ref="BW54" ca="1">_xlfn.STOCKHISTORY(P54,BV54, BV54, 0, 0, 1)</f>
        <v>69.92</v>
      </c>
      <c r="BX54" s="7">
        <f ca="1">IF(BW54&lt;&gt;0, (AU54 -BW54) / BW54, "N/A")</f>
        <v>8.5955377574370787E-2</v>
      </c>
      <c r="BY54" s="7"/>
      <c r="BZ54" s="7"/>
      <c r="CA54" s="8">
        <f ca="1">TODAY() - WEEKDAY(TODAY(), 2) + 1</f>
        <v>45579</v>
      </c>
      <c r="CB54" s="7" cm="1" vm="1347">
        <f t="array" aca="1" ref="CB54" ca="1">IFERROR(_xlfn.STOCKHISTORY(P54, WORKDAY(CA54, 0), WORKDAY(CA54, 0), 0, 0, 1), "N/A")</f>
        <v>75.930000000000007</v>
      </c>
      <c r="CC54" s="9">
        <f ca="1">IF(CB54&lt;&gt;0, (AU54 - CB54) / CB54, "N/A")</f>
        <v>0</v>
      </c>
      <c r="CD54" s="10">
        <f ca="1">TODAY() - WEEKDAY(TODAY(), 2) - 2</f>
        <v>45576</v>
      </c>
      <c r="CE54" s="11" cm="1" vm="1346">
        <f t="array" aca="1" ref="CE54" ca="1">IFERROR(_xlfn.STOCKHISTORY(P54, WORKDAY(CD54, 0), WORKDAY(CD54, 0), 0, 0, 1), "N/A")</f>
        <v>77.489999999999995</v>
      </c>
      <c r="CF54" s="12">
        <f ca="1">IF(CE54&lt;&gt;0, (AU54 - CE54) / CE54, "N/A")</f>
        <v>-2.0131629887727296E-2</v>
      </c>
      <c r="CG54" s="7"/>
      <c r="CH54" s="2"/>
    </row>
    <row r="55" spans="1:116" x14ac:dyDescent="0.4">
      <c r="B55" s="6" t="str">
        <f ca="1">P55 &amp; " - " &amp; S55</f>
        <v>ILIT - iShares:Lit Min and Prod</v>
      </c>
      <c r="C55" s="6"/>
      <c r="D55" s="6" cm="1">
        <f t="array" aca="1" ref="D55" ca="1">_FV(O55,"Änderung (%)",TRUE)</f>
        <v>-2.1886000000000003E-2</v>
      </c>
      <c r="E55" s="6">
        <f ca="1">_xlfn.RANK.EQ(D55, D:D, 1) / COUNT(D:D)</f>
        <v>3.6363636363636362E-2</v>
      </c>
      <c r="F55" s="6">
        <f ca="1">PERCENTRANK(AV55:BT55,BT55)</f>
        <v>0.875</v>
      </c>
      <c r="G55" s="6">
        <f ca="1">IF(CE55&lt;&gt;0, (AU55 - CE55) / CE55, "N/A")</f>
        <v>-2.1885521885522015E-2</v>
      </c>
      <c r="H55" s="6">
        <f ca="1">(AU55/AP55-1)</f>
        <v>-7.9968329374505265E-2</v>
      </c>
      <c r="I55" s="6">
        <f ca="1">IF(BW55&lt;&gt;0, (AU55 -BW55) / BW55, "N/A")</f>
        <v>2.0193151887620601E-2</v>
      </c>
      <c r="J55" s="6">
        <f ca="1">_xlfn.RANK.EQ(I55, I:I, 1) / COUNT(I:I)</f>
        <v>0.50909090909090904</v>
      </c>
      <c r="K55" s="6">
        <f ca="1">IFERROR((AU55/X55-1), "Error")</f>
        <v>0.2104166666666667</v>
      </c>
      <c r="L55" s="6">
        <f ca="1">_xlfn.RANK.EQ(K55, K:K, 1) / COUNT(K:K)</f>
        <v>0.94545454545454544</v>
      </c>
      <c r="M55" s="6"/>
      <c r="N55" s="6">
        <f ca="1">IF(BW55&lt;&gt;0, (AU55 -BW55) / BW55, "N/A")</f>
        <v>2.0193151887620601E-2</v>
      </c>
      <c r="O55" s="2" t="e" vm="1348">
        <v>#VALUE!</v>
      </c>
      <c r="P55" s="14" t="s">
        <v>27</v>
      </c>
      <c r="Q55" s="2" t="str">
        <f>P55 &amp; ""</f>
        <v>ILIT</v>
      </c>
      <c r="R55" s="14" t="s">
        <v>71</v>
      </c>
      <c r="S55" s="2" t="str" cm="1">
        <f t="array" aca="1" ref="S55" ca="1">_FV(O55,"Name")</f>
        <v>iShares:Lit Min and Prod</v>
      </c>
      <c r="T55" s="2" t="str" cm="1">
        <f t="array" aca="1" ref="T55" ca="1">_FV(O55,"Name")</f>
        <v>iShares:Lit Min and Prod</v>
      </c>
      <c r="U55" s="2" cm="1" vm="1349">
        <f t="array" aca="1" ref="U55:AU55" ca="1">TRANSPOSE(_xlfn.STOCKHISTORY(P55, WORKDAY(TODAY(), -27), TODAY(), 0, 0, 1))</f>
        <v>8.74</v>
      </c>
      <c r="V55" s="2" vm="1349">
        <f ca="1"/>
        <v>8.74</v>
      </c>
      <c r="W55" s="2" vm="1350">
        <f ca="1"/>
        <v>8.66</v>
      </c>
      <c r="X55" s="2" vm="1351">
        <f ca="1"/>
        <v>9.6</v>
      </c>
      <c r="Y55" s="2" vm="1351">
        <f ca="1"/>
        <v>9.6</v>
      </c>
      <c r="Z55" s="2" vm="1352">
        <f ca="1"/>
        <v>9.39</v>
      </c>
      <c r="AA55" s="2" vm="1353">
        <f ca="1"/>
        <v>9.4718999999999998</v>
      </c>
      <c r="AB55" s="2" vm="1354">
        <f ca="1"/>
        <v>9.49</v>
      </c>
      <c r="AC55" s="2" vm="1355">
        <f ca="1"/>
        <v>9.3800000000000008</v>
      </c>
      <c r="AD55" s="2" vm="1356">
        <f ca="1"/>
        <v>9.57</v>
      </c>
      <c r="AE55" s="2" vm="1357">
        <f ca="1"/>
        <v>9.2899999999999991</v>
      </c>
      <c r="AF55" s="2" vm="1358">
        <f ca="1"/>
        <v>9.43</v>
      </c>
      <c r="AG55" s="2" vm="1359">
        <f ca="1"/>
        <v>10.18</v>
      </c>
      <c r="AH55" s="2" vm="1360">
        <f ca="1"/>
        <v>9.9700000000000006</v>
      </c>
      <c r="AI55" s="2" vm="1361">
        <f ca="1"/>
        <v>10.69</v>
      </c>
      <c r="AJ55" s="2" vm="1362">
        <f ca="1"/>
        <v>11.18</v>
      </c>
      <c r="AK55" s="2" vm="1363">
        <f ca="1"/>
        <v>11.39</v>
      </c>
      <c r="AL55" s="2" vm="1364">
        <f ca="1"/>
        <v>11.49</v>
      </c>
      <c r="AM55" s="2" vm="1365">
        <f ca="1"/>
        <v>11.82</v>
      </c>
      <c r="AN55" s="2" vm="1364">
        <f ca="1"/>
        <v>11.49</v>
      </c>
      <c r="AO55" s="2" vm="1366">
        <f ca="1"/>
        <v>11.755000000000001</v>
      </c>
      <c r="AP55" s="2" vm="1367">
        <f ca="1"/>
        <v>12.63</v>
      </c>
      <c r="AQ55" s="2" vm="1368">
        <f ca="1"/>
        <v>12.115</v>
      </c>
      <c r="AR55" s="2" vm="1369">
        <f ca="1"/>
        <v>11.98</v>
      </c>
      <c r="AS55" s="2" vm="1370">
        <f ca="1"/>
        <v>11.96</v>
      </c>
      <c r="AT55" s="2" vm="1371">
        <f ca="1"/>
        <v>11.88</v>
      </c>
      <c r="AU55" s="2" vm="1372">
        <f ca="1"/>
        <v>11.62</v>
      </c>
      <c r="AV55" s="2">
        <f ca="1">U55/U$4</f>
        <v>1.6174402250351619E-2</v>
      </c>
      <c r="AW55" s="2">
        <f ca="1">V55/V$4</f>
        <v>1.599531487344668E-2</v>
      </c>
      <c r="AX55" s="2">
        <f ca="1">W55/W$4</f>
        <v>1.5780170921481807E-2</v>
      </c>
      <c r="AY55" s="2">
        <f ca="1">X55/X$4</f>
        <v>1.7315392662602361E-2</v>
      </c>
      <c r="AZ55" s="2">
        <f ca="1">Y55/Y$4</f>
        <v>1.7170759627251425E-2</v>
      </c>
      <c r="BA55" s="2">
        <f ca="1">Z55/Z$4</f>
        <v>1.6707887760004272E-2</v>
      </c>
      <c r="BB55" s="2">
        <f ca="1">AA55/AA$4</f>
        <v>1.6828761282069504E-2</v>
      </c>
      <c r="BC55" s="2">
        <f ca="1">AB55/AB$4</f>
        <v>1.6854032358321343E-2</v>
      </c>
      <c r="BD55" s="2">
        <f ca="1">AC55/AC$4</f>
        <v>1.6708229426433917E-2</v>
      </c>
      <c r="BE55" s="2">
        <f ca="1">AD55/AD$4</f>
        <v>1.6760657115835933E-2</v>
      </c>
      <c r="BF55" s="2">
        <f ca="1">AE55/AE$4</f>
        <v>1.6348438187417508E-2</v>
      </c>
      <c r="BG55" s="2">
        <f ca="1">AF55/AF$4</f>
        <v>1.6553443221514211E-2</v>
      </c>
      <c r="BH55" s="2">
        <f ca="1">AG55/AG$4</f>
        <v>1.7819009277087346E-2</v>
      </c>
      <c r="BI55" s="2">
        <f ca="1">AH55/AH$4</f>
        <v>1.7490000701705147E-2</v>
      </c>
      <c r="BJ55" s="2">
        <f ca="1">AI55/AI$4</f>
        <v>1.8679014502883104E-2</v>
      </c>
      <c r="BK55" s="2">
        <f ca="1">AJ55/AJ$4</f>
        <v>1.9563581640331073E-2</v>
      </c>
      <c r="BL55" s="2">
        <f ca="1">AK55/AK$4</f>
        <v>1.9851505856107083E-2</v>
      </c>
      <c r="BM55" s="2">
        <f ca="1">AL55/AL$4</f>
        <v>2.02068165031128E-2</v>
      </c>
      <c r="BN55" s="2">
        <f ca="1">AM55/AM$4</f>
        <v>2.0778398903069296E-2</v>
      </c>
      <c r="BO55" s="2">
        <f ca="1">AN55/AN$4</f>
        <v>2.0235285830016554E-2</v>
      </c>
      <c r="BP55" s="2">
        <f ca="1">AO55/AO$4</f>
        <v>2.0515550280987119E-2</v>
      </c>
      <c r="BQ55" s="2">
        <f ca="1">AP55/AP$4</f>
        <v>2.2243747798520608E-2</v>
      </c>
      <c r="BR55" s="2">
        <f ca="1">AQ55/AQ$4</f>
        <v>2.1136835493832547E-2</v>
      </c>
      <c r="BS55" s="2">
        <f ca="1">AR55/AR$4</f>
        <v>2.0757528502616352E-2</v>
      </c>
      <c r="BT55" s="2">
        <f ca="1">AS55/AS$4</f>
        <v>2.0759203651953554E-2</v>
      </c>
      <c r="BU55" s="2"/>
      <c r="BV55" s="2">
        <f ca="1">EOMONTH(TODAY(), -1)</f>
        <v>45565</v>
      </c>
      <c r="BW55" s="2" cm="1" vm="1363">
        <f t="array" aca="1" ref="BW55" ca="1">_xlfn.STOCKHISTORY(P55,BV55, BV55, 0, 0, 1)</f>
        <v>11.39</v>
      </c>
      <c r="BX55" s="7">
        <f ca="1">IF(BW55&lt;&gt;0, (AU55 -BW55) / BW55, "N/A")</f>
        <v>2.0193151887620601E-2</v>
      </c>
      <c r="BY55" s="7"/>
      <c r="BZ55" s="7"/>
      <c r="CA55" s="8">
        <f ca="1">TODAY() - WEEKDAY(TODAY(), 2) + 1</f>
        <v>45579</v>
      </c>
      <c r="CB55" s="7" cm="1" vm="1372">
        <f t="array" aca="1" ref="CB55" ca="1">IFERROR(_xlfn.STOCKHISTORY(P55, WORKDAY(CA55, 0), WORKDAY(CA55, 0), 0, 0, 1), "N/A")</f>
        <v>11.62</v>
      </c>
      <c r="CC55" s="9">
        <f ca="1">IF(CB55&lt;&gt;0, (AU55 - CB55) / CB55, "N/A")</f>
        <v>0</v>
      </c>
      <c r="CD55" s="10">
        <f ca="1">TODAY() - WEEKDAY(TODAY(), 2) - 2</f>
        <v>45576</v>
      </c>
      <c r="CE55" s="11" cm="1" vm="1371">
        <f t="array" aca="1" ref="CE55" ca="1">IFERROR(_xlfn.STOCKHISTORY(P55, WORKDAY(CD55, 0), WORKDAY(CD55, 0), 0, 0, 1), "N/A")</f>
        <v>11.88</v>
      </c>
      <c r="CF55" s="12">
        <f ca="1">IF(CE55&lt;&gt;0, (AU55 - CE55) / CE55, "N/A")</f>
        <v>-2.1885521885522015E-2</v>
      </c>
      <c r="CG55" s="7"/>
      <c r="CH55" s="2"/>
    </row>
    <row r="56" spans="1:116" ht="15" customHeight="1" x14ac:dyDescent="0.4">
      <c r="A56" s="1"/>
      <c r="B56" s="6" t="str">
        <f ca="1">P56 &amp; " - " &amp; S56</f>
        <v>LIT - Glbl X Lith &amp; Bat Tech</v>
      </c>
      <c r="C56" s="6"/>
      <c r="D56" s="6" cm="1">
        <f t="array" aca="1" ref="D56" ca="1">_FV(O56,"Änderung (%)",TRUE)</f>
        <v>-1.9376000000000001E-2</v>
      </c>
      <c r="E56" s="6">
        <f ca="1">_xlfn.RANK.EQ(D56, D:D, 1) / COUNT(D:D)</f>
        <v>9.0909090909090912E-2</v>
      </c>
      <c r="F56" s="6">
        <f ca="1">PERCENTRANK(AV56:BT56,BT56)</f>
        <v>0.83299999999999996</v>
      </c>
      <c r="G56" s="6">
        <f ca="1">IF(CE56&lt;&gt;0, (AU56 - CE56) / CE56, "N/A")</f>
        <v>-1.9376391982182571E-2</v>
      </c>
      <c r="H56" s="6">
        <f ca="1">(AU56/AP56-1)</f>
        <v>-0.10087808862568914</v>
      </c>
      <c r="I56" s="6">
        <f ca="1">IF(BW56&lt;&gt;0, (AU56 -BW56) / BW56, "N/A")</f>
        <v>1.0094058270245416E-2</v>
      </c>
      <c r="J56" s="6">
        <f ca="1">_xlfn.RANK.EQ(I56, I:I, 1) / COUNT(I:I)</f>
        <v>0.32727272727272727</v>
      </c>
      <c r="K56" s="6">
        <f ca="1">IFERROR((AU56/X56-1), "Error")</f>
        <v>0.16759480243967118</v>
      </c>
      <c r="L56" s="6">
        <f ca="1">_xlfn.RANK.EQ(K56, K:K, 1) / COUNT(K:K)</f>
        <v>0.90909090909090906</v>
      </c>
      <c r="M56" s="6"/>
      <c r="N56" s="6">
        <f ca="1">IF(BW56&lt;&gt;0, (AU56 -BW56) / BW56, "N/A")</f>
        <v>1.0094058270245416E-2</v>
      </c>
      <c r="O56" s="2" t="e" vm="1373">
        <v>#VALUE!</v>
      </c>
      <c r="P56" s="2" t="str" cm="1">
        <f t="array" aca="1" ref="P56" ca="1">_FV(O56,"Ticker-Symbol",TRUE)</f>
        <v>LIT</v>
      </c>
      <c r="Q56" s="2" t="str">
        <f ca="1">P56 &amp; ""</f>
        <v>LIT</v>
      </c>
      <c r="R56" s="14" t="s">
        <v>71</v>
      </c>
      <c r="S56" s="2" t="str" cm="1">
        <f t="array" aca="1" ref="S56" ca="1">_FV(O56,"Name")</f>
        <v>Glbl X Lith &amp; Bat Tech</v>
      </c>
      <c r="T56" s="2" t="str" cm="1">
        <f t="array" aca="1" ref="T56" ca="1">_FV(O56,"Name")</f>
        <v>Glbl X Lith &amp; Bat Tech</v>
      </c>
      <c r="U56" s="2" cm="1" vm="460">
        <f t="array" aca="1" ref="U56:AU56" ca="1">TRANSPOSE(_xlfn.STOCKHISTORY(P56, WORKDAY(TODAY(), -27), TODAY(), 0, 0, 1))</f>
        <v>35.01</v>
      </c>
      <c r="V56" s="2" vm="1374">
        <f ca="1"/>
        <v>35.369999999999997</v>
      </c>
      <c r="W56" s="2" vm="455">
        <f ca="1"/>
        <v>35.090000000000003</v>
      </c>
      <c r="X56" s="2" vm="1375">
        <f ca="1"/>
        <v>37.71</v>
      </c>
      <c r="Y56" s="2" vm="1376">
        <f ca="1"/>
        <v>37.68</v>
      </c>
      <c r="Z56" s="2" vm="1377">
        <f ca="1"/>
        <v>37.14</v>
      </c>
      <c r="AA56" s="2" vm="1378">
        <f ca="1"/>
        <v>37.28</v>
      </c>
      <c r="AB56" s="2" vm="1379">
        <f ca="1"/>
        <v>37.25</v>
      </c>
      <c r="AC56" s="2" vm="1380">
        <f ca="1"/>
        <v>36.81</v>
      </c>
      <c r="AD56" s="2" vm="1381">
        <f ca="1"/>
        <v>37.630000000000003</v>
      </c>
      <c r="AE56" s="2" vm="1382">
        <f ca="1"/>
        <v>36.770000000000003</v>
      </c>
      <c r="AF56" s="2" vm="1383">
        <f ca="1"/>
        <v>37.26</v>
      </c>
      <c r="AG56" s="2" vm="1384">
        <f ca="1"/>
        <v>39.47</v>
      </c>
      <c r="AH56" s="2" vm="1385">
        <f ca="1"/>
        <v>38.94</v>
      </c>
      <c r="AI56" s="2" vm="1386">
        <f ca="1"/>
        <v>41.11</v>
      </c>
      <c r="AJ56" s="2" vm="1387">
        <f ca="1"/>
        <v>42.51</v>
      </c>
      <c r="AK56" s="2" vm="1388">
        <f ca="1"/>
        <v>43.59</v>
      </c>
      <c r="AL56" s="2" vm="1389">
        <f ca="1"/>
        <v>44.11</v>
      </c>
      <c r="AM56" s="2" vm="1390">
        <f ca="1"/>
        <v>45.4</v>
      </c>
      <c r="AN56" s="2" vm="1391">
        <f ca="1"/>
        <v>44.49</v>
      </c>
      <c r="AO56" s="2" vm="1392">
        <f ca="1"/>
        <v>46.07</v>
      </c>
      <c r="AP56" s="2" vm="1393">
        <f ca="1"/>
        <v>48.97</v>
      </c>
      <c r="AQ56" s="2" vm="1394">
        <f ca="1"/>
        <v>46.91</v>
      </c>
      <c r="AR56" s="2" vm="1395">
        <f ca="1"/>
        <v>45.73</v>
      </c>
      <c r="AS56" s="2" vm="1396">
        <f ca="1"/>
        <v>45.74</v>
      </c>
      <c r="AT56" s="2" vm="1397">
        <f ca="1"/>
        <v>44.9</v>
      </c>
      <c r="AU56" s="2" vm="1262">
        <f ca="1"/>
        <v>44.03</v>
      </c>
      <c r="AV56" s="2">
        <f ca="1">U56/U$4</f>
        <v>6.4790139906728841E-2</v>
      </c>
      <c r="AW56" s="2">
        <f ca="1">V56/V$4</f>
        <v>6.4731611793341998E-2</v>
      </c>
      <c r="AX56" s="2">
        <f ca="1">W56/W$4</f>
        <v>6.3940669472840259E-2</v>
      </c>
      <c r="AY56" s="2">
        <f ca="1">X56/X$4</f>
        <v>6.8017026802784902E-2</v>
      </c>
      <c r="AZ56" s="2">
        <f ca="1">Y56/Y$4</f>
        <v>6.739523153696185E-2</v>
      </c>
      <c r="BA56" s="2">
        <f ca="1">Z56/Z$4</f>
        <v>6.6084233376630316E-2</v>
      </c>
      <c r="BB56" s="2">
        <f ca="1">AA56/AA$4</f>
        <v>6.6235519863549142E-2</v>
      </c>
      <c r="BC56" s="2">
        <f ca="1">AB56/AB$4</f>
        <v>6.6155184968121186E-2</v>
      </c>
      <c r="BD56" s="2">
        <f ca="1">AC56/AC$4</f>
        <v>6.5568222301389395E-2</v>
      </c>
      <c r="BE56" s="2">
        <f ca="1">AD56/AD$4</f>
        <v>6.5904234824337105E-2</v>
      </c>
      <c r="BF56" s="2">
        <f ca="1">AE56/AE$4</f>
        <v>6.4707435107787065E-2</v>
      </c>
      <c r="BG56" s="2">
        <f ca="1">AF56/AF$4</f>
        <v>6.5406287850861028E-2</v>
      </c>
      <c r="BH56" s="2">
        <f ca="1">AG56/AG$4</f>
        <v>6.9088044810082266E-2</v>
      </c>
      <c r="BI56" s="2">
        <f ca="1">AH56/AH$4</f>
        <v>6.831099571959863E-2</v>
      </c>
      <c r="BJ56" s="2">
        <f ca="1">AI56/AI$4</f>
        <v>7.1832954744015381E-2</v>
      </c>
      <c r="BK56" s="2">
        <f ca="1">AJ56/AJ$4</f>
        <v>7.4387106934747219E-2</v>
      </c>
      <c r="BL56" s="2">
        <f ca="1">AK56/AK$4</f>
        <v>7.5972532069157842E-2</v>
      </c>
      <c r="BM56" s="2">
        <f ca="1">AL56/AL$4</f>
        <v>7.7573775104639295E-2</v>
      </c>
      <c r="BN56" s="2">
        <f ca="1">AM56/AM$4</f>
        <v>7.980874028759273E-2</v>
      </c>
      <c r="BO56" s="2">
        <f ca="1">AN56/AN$4</f>
        <v>7.8352294741291253E-2</v>
      </c>
      <c r="BP56" s="2">
        <f ca="1">AO56/AO$4</f>
        <v>8.0404202589968235E-2</v>
      </c>
      <c r="BQ56" s="2">
        <f ca="1">AP56/AP$4</f>
        <v>8.6245156745332868E-2</v>
      </c>
      <c r="BR56" s="2">
        <f ca="1">AQ56/AQ$4</f>
        <v>8.1843083203936004E-2</v>
      </c>
      <c r="BS56" s="2">
        <f ca="1">AR56/AR$4</f>
        <v>7.9235540770003804E-2</v>
      </c>
      <c r="BT56" s="2">
        <f ca="1">AS56/AS$4</f>
        <v>7.939180393314009E-2</v>
      </c>
      <c r="BU56" s="2"/>
      <c r="BV56" s="2">
        <f ca="1">EOMONTH(TODAY(), -1)</f>
        <v>45565</v>
      </c>
      <c r="BW56" s="2" cm="1" vm="1388">
        <f t="array" aca="1" ref="BW56" ca="1">_xlfn.STOCKHISTORY(P56,BV56, BV56, 0, 0, 1)</f>
        <v>43.59</v>
      </c>
      <c r="BX56" s="7">
        <f ca="1">IF(BW56&lt;&gt;0, (AU56 -BW56) / BW56, "N/A")</f>
        <v>1.0094058270245416E-2</v>
      </c>
      <c r="BY56" s="7"/>
      <c r="BZ56" s="7"/>
      <c r="CA56" s="8">
        <f ca="1">TODAY() - WEEKDAY(TODAY(), 2) + 1</f>
        <v>45579</v>
      </c>
      <c r="CB56" s="7" cm="1" vm="1262">
        <f t="array" aca="1" ref="CB56" ca="1">IFERROR(_xlfn.STOCKHISTORY(P56, WORKDAY(CA56, 0), WORKDAY(CA56, 0), 0, 0, 1), "N/A")</f>
        <v>44.03</v>
      </c>
      <c r="CC56" s="9">
        <f ca="1">IF(CB56&lt;&gt;0, (AU56 - CB56) / CB56, "N/A")</f>
        <v>0</v>
      </c>
      <c r="CD56" s="10">
        <f ca="1">TODAY() - WEEKDAY(TODAY(), 2) - 2</f>
        <v>45576</v>
      </c>
      <c r="CE56" s="11" cm="1" vm="1397">
        <f t="array" aca="1" ref="CE56" ca="1">IFERROR(_xlfn.STOCKHISTORY(P56, WORKDAY(CD56, 0), WORKDAY(CD56, 0), 0, 0, 1), "N/A")</f>
        <v>44.9</v>
      </c>
      <c r="CF56" s="12">
        <f ca="1">IF(CE56&lt;&gt;0, (AU56 - CE56) / CE56, "N/A")</f>
        <v>-1.9376391982182571E-2</v>
      </c>
      <c r="CG56" s="7"/>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row>
    <row r="57" spans="1:116" x14ac:dyDescent="0.4">
      <c r="B57" s="6" t="str">
        <f ca="1">P57 &amp; " - " &amp; S57</f>
        <v>FXI - iShares:China Large Cp</v>
      </c>
      <c r="C57" s="6"/>
      <c r="D57" s="6" cm="1">
        <f t="array" aca="1" ref="D57" ca="1">_FV(O57,"Änderung (%)",TRUE)</f>
        <v>-1.8879E-2</v>
      </c>
      <c r="E57" s="6">
        <f ca="1">_xlfn.RANK.EQ(D57, D:D, 1) / COUNT(D:D)</f>
        <v>0.10909090909090909</v>
      </c>
      <c r="F57" s="6">
        <f ca="1">PERCENTRANK(AV57:BT57,BT57)</f>
        <v>0.75</v>
      </c>
      <c r="G57" s="6">
        <f ca="1">IF(CE57&lt;&gt;0, (AU57 - CE57) / CE57, "N/A")</f>
        <v>-1.8879232843871607E-2</v>
      </c>
      <c r="H57" s="6">
        <f ca="1">(AU57/AP57-1)</f>
        <v>-0.10765876260561447</v>
      </c>
      <c r="I57" s="6">
        <f ca="1">IF(BW57&lt;&gt;0, (AU57 -BW57) / BW57, "N/A")</f>
        <v>3.020767778477032E-2</v>
      </c>
      <c r="J57" s="6">
        <f ca="1">_xlfn.RANK.EQ(I57, I:I, 1) / COUNT(I:I)</f>
        <v>0.63636363636363635</v>
      </c>
      <c r="K57" s="6">
        <f ca="1">IFERROR((AU57/X57-1), "Error")</f>
        <v>0.27293934681181975</v>
      </c>
      <c r="L57" s="6">
        <f ca="1">_xlfn.RANK.EQ(K57, K:K, 1) / COUNT(K:K)</f>
        <v>0.98181818181818181</v>
      </c>
      <c r="M57" s="6"/>
      <c r="N57" s="6">
        <f ca="1">IF(BW57&lt;&gt;0, (AU57 -BW57) / BW57, "N/A")</f>
        <v>3.020767778477032E-2</v>
      </c>
      <c r="O57" s="2" t="e" vm="1398">
        <v>#VALUE!</v>
      </c>
      <c r="P57" s="14" t="s">
        <v>30</v>
      </c>
      <c r="Q57" s="2" t="str">
        <f>P57 &amp; ""</f>
        <v>FXI</v>
      </c>
      <c r="R57" s="14" t="s">
        <v>71</v>
      </c>
      <c r="S57" s="2" t="str" cm="1">
        <f t="array" aca="1" ref="S57" ca="1">_FV(O57,"Name")</f>
        <v>iShares:China Large Cp</v>
      </c>
      <c r="T57" s="2" t="str" cm="1">
        <f t="array" aca="1" ref="T57" ca="1">_FV(O57,"Name")</f>
        <v>iShares:China Large Cp</v>
      </c>
      <c r="U57" s="2" cm="1" vm="1399">
        <f t="array" aca="1" ref="U57:AU57" ca="1">TRANSPOSE(_xlfn.STOCKHISTORY(P57, WORKDAY(TODAY(), -27), TODAY(), 0, 0, 1))</f>
        <v>25.5</v>
      </c>
      <c r="V57" s="2" vm="1400">
        <f ca="1"/>
        <v>25.52</v>
      </c>
      <c r="W57" s="2" vm="1401">
        <f ca="1"/>
        <v>25.46</v>
      </c>
      <c r="X57" s="2" vm="1402">
        <f ca="1"/>
        <v>25.72</v>
      </c>
      <c r="Y57" s="2" vm="1403">
        <f ca="1"/>
        <v>25.71</v>
      </c>
      <c r="Z57" s="2" vm="1404">
        <f ca="1"/>
        <v>25.86</v>
      </c>
      <c r="AA57" s="2" vm="1405">
        <f ca="1"/>
        <v>26.01</v>
      </c>
      <c r="AB57" s="2" vm="1406">
        <f ca="1"/>
        <v>26.34</v>
      </c>
      <c r="AC57" s="2" vm="1407">
        <f ca="1"/>
        <v>26.19</v>
      </c>
      <c r="AD57" s="2" vm="1408">
        <f ca="1"/>
        <v>27.13</v>
      </c>
      <c r="AE57" s="2" vm="1409">
        <f ca="1"/>
        <v>27.15</v>
      </c>
      <c r="AF57" s="2" vm="1410">
        <f ca="1"/>
        <v>27.68</v>
      </c>
      <c r="AG57" s="2" vm="1411">
        <f ca="1"/>
        <v>30.4</v>
      </c>
      <c r="AH57" s="2" vm="1412">
        <f ca="1"/>
        <v>29.56</v>
      </c>
      <c r="AI57" s="2" vm="1413">
        <f ca="1"/>
        <v>31.92</v>
      </c>
      <c r="AJ57" s="2" vm="1414">
        <f ca="1"/>
        <v>32.17</v>
      </c>
      <c r="AK57" s="2" vm="1415">
        <f ca="1"/>
        <v>31.78</v>
      </c>
      <c r="AL57" s="2" vm="1416">
        <f ca="1"/>
        <v>33.1</v>
      </c>
      <c r="AM57" s="2" vm="1417">
        <f ca="1"/>
        <v>35.479999999999997</v>
      </c>
      <c r="AN57" s="2" vm="1418">
        <f ca="1"/>
        <v>34.5</v>
      </c>
      <c r="AO57" s="2" vm="1419">
        <f ca="1"/>
        <v>35.71</v>
      </c>
      <c r="AP57" s="2" vm="1420">
        <f ca="1"/>
        <v>36.69</v>
      </c>
      <c r="AQ57" s="2" vm="1421">
        <f ca="1"/>
        <v>33.33</v>
      </c>
      <c r="AR57" s="2" vm="1422">
        <f ca="1"/>
        <v>32.79</v>
      </c>
      <c r="AS57" s="2" vm="1423">
        <f ca="1"/>
        <v>33.22</v>
      </c>
      <c r="AT57" s="2" vm="1424">
        <f ca="1"/>
        <v>33.369999999999997</v>
      </c>
      <c r="AU57" s="2" vm="1425">
        <f ca="1"/>
        <v>32.74</v>
      </c>
      <c r="AV57" s="2">
        <f ca="1">U57/U$4</f>
        <v>4.719076171441261E-2</v>
      </c>
      <c r="AW57" s="2">
        <f ca="1">V57/V$4</f>
        <v>4.6704855328416395E-2</v>
      </c>
      <c r="AX57" s="2">
        <f ca="1">W57/W$4</f>
        <v>4.6392973632901478E-2</v>
      </c>
      <c r="AY57" s="2">
        <f ca="1">X57/X$4</f>
        <v>4.6390822841888821E-2</v>
      </c>
      <c r="AZ57" s="2">
        <f ca="1">Y57/Y$4</f>
        <v>4.5985440626732724E-2</v>
      </c>
      <c r="BA57" s="2">
        <f ca="1">Z57/Z$4</f>
        <v>4.6013416131385564E-2</v>
      </c>
      <c r="BB57" s="2">
        <f ca="1">AA57/AA$4</f>
        <v>4.6212067372610334E-2</v>
      </c>
      <c r="BC57" s="2">
        <f ca="1">AB57/AB$4</f>
        <v>4.6779263679471467E-2</v>
      </c>
      <c r="BD57" s="2">
        <f ca="1">AC57/AC$4</f>
        <v>4.6651229070181696E-2</v>
      </c>
      <c r="BE57" s="2">
        <f ca="1">AD57/AD$4</f>
        <v>4.7514799117307084E-2</v>
      </c>
      <c r="BF57" s="2">
        <f ca="1">AE57/AE$4</f>
        <v>4.7778266608007033E-2</v>
      </c>
      <c r="BG57" s="2">
        <f ca="1">AF57/AF$4</f>
        <v>4.8589534291782963E-2</v>
      </c>
      <c r="BH57" s="2">
        <f ca="1">AG57/AG$4</f>
        <v>5.3211972693856122E-2</v>
      </c>
      <c r="BI57" s="2">
        <f ca="1">AH57/AH$4</f>
        <v>5.1856010104554068E-2</v>
      </c>
      <c r="BJ57" s="2">
        <f ca="1">AI57/AI$4</f>
        <v>5.5774943211602312E-2</v>
      </c>
      <c r="BK57" s="2">
        <f ca="1">AJ57/AJ$4</f>
        <v>5.6293418727142282E-2</v>
      </c>
      <c r="BL57" s="2">
        <f ca="1">AK57/AK$4</f>
        <v>5.5389012827663134E-2</v>
      </c>
      <c r="BM57" s="2">
        <f ca="1">AL57/AL$4</f>
        <v>5.8211107593823648E-2</v>
      </c>
      <c r="BN57" s="2">
        <f ca="1">AM57/AM$4</f>
        <v>6.2370354744576868E-2</v>
      </c>
      <c r="BO57" s="2">
        <f ca="1">AN57/AN$4</f>
        <v>6.0758691134514452E-2</v>
      </c>
      <c r="BP57" s="2">
        <f ca="1">AO57/AO$4</f>
        <v>6.2323292261509997E-2</v>
      </c>
      <c r="BQ57" s="2">
        <f ca="1">AP57/AP$4</f>
        <v>6.4617823177175057E-2</v>
      </c>
      <c r="BR57" s="2">
        <f ca="1">AQ57/AQ$4</f>
        <v>5.8150287000366382E-2</v>
      </c>
      <c r="BS57" s="2">
        <f ca="1">AR57/AR$4</f>
        <v>5.6814637696226217E-2</v>
      </c>
      <c r="BT57" s="2">
        <f ca="1">AS57/AS$4</f>
        <v>5.7660597434606768E-2</v>
      </c>
      <c r="BU57" s="2"/>
      <c r="BV57" s="2">
        <f ca="1">EOMONTH(TODAY(), -1)</f>
        <v>45565</v>
      </c>
      <c r="BW57" s="2" cm="1" vm="1415">
        <f t="array" aca="1" ref="BW57" ca="1">_xlfn.STOCKHISTORY(P57,BV57, BV57, 0, 0, 1)</f>
        <v>31.78</v>
      </c>
      <c r="BX57" s="7">
        <f ca="1">IF(BW57&lt;&gt;0, (AU57 -BW57) / BW57, "N/A")</f>
        <v>3.020767778477032E-2</v>
      </c>
      <c r="BY57" s="7"/>
      <c r="BZ57" s="7"/>
      <c r="CA57" s="8">
        <f ca="1">TODAY() - WEEKDAY(TODAY(), 2) + 1</f>
        <v>45579</v>
      </c>
      <c r="CB57" s="7" cm="1" vm="1425">
        <f t="array" aca="1" ref="CB57" ca="1">IFERROR(_xlfn.STOCKHISTORY(P57, WORKDAY(CA57, 0), WORKDAY(CA57, 0), 0, 0, 1), "N/A")</f>
        <v>32.74</v>
      </c>
      <c r="CC57" s="9">
        <f ca="1">IF(CB57&lt;&gt;0, (AU57 - CB57) / CB57, "N/A")</f>
        <v>0</v>
      </c>
      <c r="CD57" s="10">
        <f ca="1">TODAY() - WEEKDAY(TODAY(), 2) - 2</f>
        <v>45576</v>
      </c>
      <c r="CE57" s="11" cm="1" vm="1424">
        <f t="array" aca="1" ref="CE57" ca="1">IFERROR(_xlfn.STOCKHISTORY(P57, WORKDAY(CD57, 0), WORKDAY(CD57, 0), 0, 0, 1), "N/A")</f>
        <v>33.369999999999997</v>
      </c>
      <c r="CF57" s="12">
        <f ca="1">IF(CE57&lt;&gt;0, (AU57 - CE57) / CE57, "N/A")</f>
        <v>-1.8879232843871607E-2</v>
      </c>
      <c r="CG57" s="7"/>
      <c r="CH57" s="2"/>
    </row>
    <row r="58" spans="1:116" ht="14.6" customHeight="1" x14ac:dyDescent="0.4">
      <c r="B58" s="6" t="str">
        <f ca="1">P58 &amp; " - " &amp; S58</f>
        <v>KWEB - KraneShs:CSI China Intrt</v>
      </c>
      <c r="C58" s="6"/>
      <c r="D58" s="6" cm="1">
        <f t="array" aca="1" ref="D58" ca="1">_FV(O58,"Änderung (%)",TRUE)</f>
        <v>-2.7421000000000001E-2</v>
      </c>
      <c r="E58" s="6">
        <f ca="1">_xlfn.RANK.EQ(D58, D:D, 1) / COUNT(D:D)</f>
        <v>1.8181818181818181E-2</v>
      </c>
      <c r="F58" s="6">
        <f ca="1">PERCENTRANK(AV58:BT58,BT58)</f>
        <v>0.75</v>
      </c>
      <c r="G58" s="6">
        <f ca="1">IF(CE58&lt;&gt;0, (AU58 - CE58) / CE58, "N/A")</f>
        <v>-2.7420736932305081E-2</v>
      </c>
      <c r="H58" s="6">
        <f ca="1">(AU58/AP58-1)</f>
        <v>-0.12400308721378961</v>
      </c>
      <c r="I58" s="6">
        <f ca="1">IF(BW58&lt;&gt;0, (AU58 -BW58) / BW58, "N/A")</f>
        <v>8.8183421516737303E-4</v>
      </c>
      <c r="J58" s="6">
        <f ca="1">_xlfn.RANK.EQ(I58, I:I, 1) / COUNT(I:I)</f>
        <v>0.16363636363636364</v>
      </c>
      <c r="K58" s="6">
        <f ca="1">IFERROR((AU58/X58-1), "Error")</f>
        <v>0.33320281910728267</v>
      </c>
      <c r="L58" s="6">
        <f ca="1">_xlfn.RANK.EQ(K58, K:K, 1) / COUNT(K:K)</f>
        <v>1</v>
      </c>
      <c r="M58" s="6"/>
      <c r="N58" s="6">
        <f ca="1">IF(BW58&lt;&gt;0, (AU58 -BW58) / BW58, "N/A")</f>
        <v>8.8183421516737303E-4</v>
      </c>
      <c r="O58" s="2" t="e" vm="1426">
        <v>#VALUE!</v>
      </c>
      <c r="P58" s="14" t="s">
        <v>38</v>
      </c>
      <c r="Q58" s="2" t="str">
        <f>P58 &amp; ""</f>
        <v>KWEB</v>
      </c>
      <c r="R58" s="14" t="s">
        <v>71</v>
      </c>
      <c r="S58" s="2" t="str" cm="1">
        <f t="array" aca="1" ref="S58" ca="1">_FV(O58,"Name")</f>
        <v>KraneShs:CSI China Intrt</v>
      </c>
      <c r="T58" s="2" t="str" cm="1">
        <f t="array" aca="1" ref="T58" ca="1">_FV(O58,"Name")</f>
        <v>KraneShs:CSI China Intrt</v>
      </c>
      <c r="U58" s="2" cm="1" vm="1427">
        <f t="array" aca="1" ref="U58:AU58" ca="1">TRANSPOSE(_xlfn.STOCKHISTORY(P58, WORKDAY(TODAY(), -27), TODAY(), 0, 0, 1))</f>
        <v>25.28</v>
      </c>
      <c r="V58" s="2" vm="1428">
        <f ca="1"/>
        <v>25.37</v>
      </c>
      <c r="W58" s="2" vm="1429">
        <f ca="1"/>
        <v>25.25</v>
      </c>
      <c r="X58" s="2" vm="1430">
        <f ca="1"/>
        <v>25.54</v>
      </c>
      <c r="Y58" s="2" vm="1431">
        <f ca="1"/>
        <v>25.53</v>
      </c>
      <c r="Z58" s="2" vm="1432">
        <f ca="1"/>
        <v>25.42</v>
      </c>
      <c r="AA58" s="2" vm="1433">
        <f ca="1"/>
        <v>25.55</v>
      </c>
      <c r="AB58" s="2" vm="1434">
        <f ca="1"/>
        <v>25.88</v>
      </c>
      <c r="AC58" s="2" vm="1435">
        <f ca="1"/>
        <v>25.73</v>
      </c>
      <c r="AD58" s="2" vm="1436">
        <f ca="1"/>
        <v>26.88</v>
      </c>
      <c r="AE58" s="2" vm="1437">
        <f ca="1"/>
        <v>26.76</v>
      </c>
      <c r="AF58" s="2" vm="1438">
        <f ca="1"/>
        <v>27.23</v>
      </c>
      <c r="AG58" s="2" vm="1439">
        <f ca="1"/>
        <v>30.04</v>
      </c>
      <c r="AH58" s="2" vm="1440">
        <f ca="1"/>
        <v>29.27</v>
      </c>
      <c r="AI58" s="2" vm="1441">
        <f ca="1"/>
        <v>32.65</v>
      </c>
      <c r="AJ58" s="2" vm="1442">
        <f ca="1"/>
        <v>33.93</v>
      </c>
      <c r="AK58" s="2" vm="1443">
        <f ca="1"/>
        <v>34.020000000000003</v>
      </c>
      <c r="AL58" s="2" vm="270">
        <f ca="1"/>
        <v>36.06</v>
      </c>
      <c r="AM58" s="2" vm="1444">
        <f ca="1"/>
        <v>38.380000000000003</v>
      </c>
      <c r="AN58" s="2" vm="53">
        <f ca="1"/>
        <v>37.200000000000003</v>
      </c>
      <c r="AO58" s="2" vm="1445">
        <f ca="1"/>
        <v>38.409999999999997</v>
      </c>
      <c r="AP58" s="2" vm="1446">
        <f ca="1"/>
        <v>38.869999999999997</v>
      </c>
      <c r="AQ58" s="2" vm="34">
        <f ca="1"/>
        <v>35</v>
      </c>
      <c r="AR58" s="2" vm="1447">
        <f ca="1"/>
        <v>34.61</v>
      </c>
      <c r="AS58" s="2" vm="1448">
        <f ca="1"/>
        <v>34.69</v>
      </c>
      <c r="AT58" s="2" vm="460">
        <f ca="1"/>
        <v>35.01</v>
      </c>
      <c r="AU58" s="2" vm="1449">
        <f ca="1"/>
        <v>34.049999999999997</v>
      </c>
      <c r="AV58" s="2">
        <f ca="1">U58/U$4</f>
        <v>4.6783625730994156E-2</v>
      </c>
      <c r="AW58" s="2">
        <f ca="1">V58/V$4</f>
        <v>4.6430336194432757E-2</v>
      </c>
      <c r="AX58" s="2">
        <f ca="1">W58/W$4</f>
        <v>4.6010313599008729E-2</v>
      </c>
      <c r="AY58" s="2">
        <f ca="1">X58/X$4</f>
        <v>4.6066159229465026E-2</v>
      </c>
      <c r="AZ58" s="2">
        <f ca="1">Y58/Y$4</f>
        <v>4.5663488883721765E-2</v>
      </c>
      <c r="BA58" s="2">
        <f ca="1">Z58/Z$4</f>
        <v>4.5230511912599421E-2</v>
      </c>
      <c r="BB58" s="2">
        <f ca="1">AA58/AA$4</f>
        <v>4.539478359746997E-2</v>
      </c>
      <c r="BC58" s="2">
        <f ca="1">AB58/AB$4</f>
        <v>4.5962313744294665E-2</v>
      </c>
      <c r="BD58" s="2">
        <f ca="1">AC58/AC$4</f>
        <v>4.5831848949055932E-2</v>
      </c>
      <c r="BE58" s="2">
        <f ca="1">AD58/AD$4</f>
        <v>4.7076955409996846E-2</v>
      </c>
      <c r="BF58" s="2">
        <f ca="1">AE58/AE$4</f>
        <v>4.7091948966124071E-2</v>
      </c>
      <c r="BG58" s="2">
        <f ca="1">AF58/AF$4</f>
        <v>4.7799603279091406E-2</v>
      </c>
      <c r="BH58" s="2">
        <f ca="1">AG58/AG$4</f>
        <v>5.2581830911955195E-2</v>
      </c>
      <c r="BI58" s="2">
        <f ca="1">AH58/AH$4</f>
        <v>5.1347273875517511E-2</v>
      </c>
      <c r="BJ58" s="2">
        <f ca="1">AI58/AI$4</f>
        <v>5.7050497990564393E-2</v>
      </c>
      <c r="BK58" s="2">
        <f ca="1">AJ58/AJ$4</f>
        <v>5.9373195443330355E-2</v>
      </c>
      <c r="BL58" s="2">
        <f ca="1">AK58/AK$4</f>
        <v>5.9293084216397104E-2</v>
      </c>
      <c r="BM58" s="2">
        <f ca="1">AL58/AL$4</f>
        <v>6.3416693046322678E-2</v>
      </c>
      <c r="BN58" s="2">
        <f ca="1">AM58/AM$4</f>
        <v>6.7468269873079495E-2</v>
      </c>
      <c r="BO58" s="2">
        <f ca="1">AN58/AN$4</f>
        <v>6.551371913634603E-2</v>
      </c>
      <c r="BP58" s="2">
        <f ca="1">AO58/AO$4</f>
        <v>6.703549862124332E-2</v>
      </c>
      <c r="BQ58" s="2">
        <f ca="1">AP58/AP$4</f>
        <v>6.8457203240577663E-2</v>
      </c>
      <c r="BR58" s="2">
        <f ca="1">AQ58/AQ$4</f>
        <v>6.1063907741158822E-2</v>
      </c>
      <c r="BS58" s="2">
        <f ca="1">AR58/AR$4</f>
        <v>5.9968118654052743E-2</v>
      </c>
      <c r="BT58" s="2">
        <f ca="1">AS58/AS$4</f>
        <v>6.0212104906878651E-2</v>
      </c>
      <c r="BU58" s="2"/>
      <c r="BV58" s="2">
        <f ca="1">EOMONTH(TODAY(), -1)</f>
        <v>45565</v>
      </c>
      <c r="BW58" s="2" cm="1" vm="1443">
        <f t="array" aca="1" ref="BW58" ca="1">_xlfn.STOCKHISTORY(P58,BV58, BV58, 0, 0, 1)</f>
        <v>34.020000000000003</v>
      </c>
      <c r="BX58" s="7">
        <f ca="1">IF(BW58&lt;&gt;0, (AU58 -BW58) / BW58, "N/A")</f>
        <v>8.8183421516737303E-4</v>
      </c>
      <c r="BY58" s="7"/>
      <c r="BZ58" s="7"/>
      <c r="CA58" s="8">
        <f ca="1">TODAY() - WEEKDAY(TODAY(), 2) + 1</f>
        <v>45579</v>
      </c>
      <c r="CB58" s="7" cm="1" vm="1449">
        <f t="array" aca="1" ref="CB58" ca="1">IFERROR(_xlfn.STOCKHISTORY(P58, WORKDAY(CA58, 0), WORKDAY(CA58, 0), 0, 0, 1), "N/A")</f>
        <v>34.049999999999997</v>
      </c>
      <c r="CC58" s="9">
        <f ca="1">IF(CB58&lt;&gt;0, (AU58 - CB58) / CB58, "N/A")</f>
        <v>0</v>
      </c>
      <c r="CD58" s="10">
        <f ca="1">TODAY() - WEEKDAY(TODAY(), 2) - 2</f>
        <v>45576</v>
      </c>
      <c r="CE58" s="11" cm="1" vm="460">
        <f t="array" aca="1" ref="CE58" ca="1">IFERROR(_xlfn.STOCKHISTORY(P58, WORKDAY(CD58, 0), WORKDAY(CD58, 0), 0, 0, 1), "N/A")</f>
        <v>35.01</v>
      </c>
      <c r="CF58" s="12">
        <f ca="1">IF(CE58&lt;&gt;0, (AU58 - CE58) / CE58, "N/A")</f>
        <v>-2.7420736932305081E-2</v>
      </c>
      <c r="CG58" s="7"/>
      <c r="CH58" s="2"/>
    </row>
    <row r="59" spans="1:116" ht="14.6" customHeight="1" thickBot="1" x14ac:dyDescent="0.45">
      <c r="B59" s="15" t="str">
        <f ca="1">P59 &amp; " - " &amp; S59</f>
        <v>MCHI - iShares:MSCI China</v>
      </c>
      <c r="C59" s="15"/>
      <c r="D59" s="15" cm="1">
        <f t="array" aca="1" ref="D59" ca="1">_FV(O59,"Änderung (%)",TRUE)</f>
        <v>-2.0137000000000002E-2</v>
      </c>
      <c r="E59" s="15">
        <f ca="1">_xlfn.RANK.EQ(D59, D:D, 1) / COUNT(D:D)</f>
        <v>5.4545454545454543E-2</v>
      </c>
      <c r="F59" s="15">
        <f ca="1">PERCENTRANK(AV59:BT59,BT59)</f>
        <v>0.75</v>
      </c>
      <c r="G59" s="15">
        <f ca="1">IF(CE59&lt;&gt;0, (AU59 - CE59) / CE59, "N/A")</f>
        <v>-2.0136778115501564E-2</v>
      </c>
      <c r="H59" s="15">
        <f ca="1">(AU59/AP59-1)</f>
        <v>-0.13557901793195914</v>
      </c>
      <c r="I59" s="15">
        <f ca="1">IF(BW59&lt;&gt;0, (AU59 -BW59) / BW59, "N/A")</f>
        <v>1.3160479277155799E-2</v>
      </c>
      <c r="J59" s="15">
        <f ca="1">_xlfn.RANK.EQ(I59, I:I, 1) / COUNT(I:I)</f>
        <v>0.34545454545454546</v>
      </c>
      <c r="K59" s="15">
        <f ca="1">IFERROR((AU59/X59-1), "Error")</f>
        <v>0.2648357037763609</v>
      </c>
      <c r="L59" s="15">
        <f ca="1">_xlfn.RANK.EQ(K59, K:K, 1) / COUNT(K:K)</f>
        <v>0.96363636363636362</v>
      </c>
      <c r="M59" s="6"/>
      <c r="N59" s="6">
        <f ca="1">IF(BW59&lt;&gt;0, (AU59 -BW59) / BW59, "N/A")</f>
        <v>1.3160479277155799E-2</v>
      </c>
      <c r="O59" s="2" t="e" vm="1450">
        <v>#VALUE!</v>
      </c>
      <c r="P59" s="14" t="s">
        <v>34</v>
      </c>
      <c r="Q59" s="2" t="str">
        <f>P59 &amp; ""</f>
        <v>MCHI</v>
      </c>
      <c r="R59" s="14" t="s">
        <v>71</v>
      </c>
      <c r="S59" s="2" t="str" cm="1">
        <f t="array" aca="1" ref="S59" ca="1">_FV(O59,"Name")</f>
        <v>iShares:MSCI China</v>
      </c>
      <c r="T59" s="2" t="str" cm="1">
        <f t="array" aca="1" ref="T59" ca="1">_FV(O59,"Name")</f>
        <v>iShares:MSCI China</v>
      </c>
      <c r="U59" s="2" cm="1" vm="1451">
        <f t="array" aca="1" ref="U59:AU59" ca="1">TRANSPOSE(_xlfn.STOCKHISTORY(P59, WORKDAY(TODAY(), -27), TODAY(), 0, 0, 1))</f>
        <v>40.71</v>
      </c>
      <c r="V59" s="2" vm="1452">
        <f ca="1"/>
        <v>40.619999999999997</v>
      </c>
      <c r="W59" s="2" vm="1453">
        <f ca="1"/>
        <v>40.43</v>
      </c>
      <c r="X59" s="2" vm="1454">
        <f ca="1"/>
        <v>40.78</v>
      </c>
      <c r="Y59" s="2" vm="1455">
        <f ca="1"/>
        <v>40.770000000000003</v>
      </c>
      <c r="Z59" s="2" vm="1456">
        <f ca="1"/>
        <v>40.9</v>
      </c>
      <c r="AA59" s="2" vm="1457">
        <f ca="1"/>
        <v>41.1</v>
      </c>
      <c r="AB59" s="2" vm="1458">
        <f ca="1"/>
        <v>41.47</v>
      </c>
      <c r="AC59" s="2" vm="1459">
        <f ca="1"/>
        <v>41.27</v>
      </c>
      <c r="AD59" s="2" vm="1460">
        <f ca="1"/>
        <v>42.65</v>
      </c>
      <c r="AE59" s="2" vm="1461">
        <f ca="1"/>
        <v>42.66</v>
      </c>
      <c r="AF59" s="2" vm="1462">
        <f ca="1"/>
        <v>43.28</v>
      </c>
      <c r="AG59" s="2" vm="1463">
        <f ca="1"/>
        <v>47.16</v>
      </c>
      <c r="AH59" s="2" vm="1464">
        <f ca="1"/>
        <v>46.08</v>
      </c>
      <c r="AI59" s="2" vm="1465">
        <f ca="1"/>
        <v>50.1</v>
      </c>
      <c r="AJ59" s="2" vm="1466">
        <f ca="1"/>
        <v>50.99</v>
      </c>
      <c r="AK59" s="2" vm="1467">
        <f ca="1"/>
        <v>50.91</v>
      </c>
      <c r="AL59" s="2" vm="1468">
        <f ca="1"/>
        <v>52.98</v>
      </c>
      <c r="AM59" s="2" vm="1469">
        <f ca="1"/>
        <v>56.48</v>
      </c>
      <c r="AN59" s="2" vm="1470">
        <f ca="1"/>
        <v>54.99</v>
      </c>
      <c r="AO59" s="2" vm="1471">
        <f ca="1"/>
        <v>57</v>
      </c>
      <c r="AP59" s="2" vm="1472">
        <f ca="1"/>
        <v>59.67</v>
      </c>
      <c r="AQ59" s="2" vm="1473">
        <f ca="1"/>
        <v>53.22</v>
      </c>
      <c r="AR59" s="2" vm="1474">
        <f ca="1"/>
        <v>51.965000000000003</v>
      </c>
      <c r="AS59" s="2" vm="1475">
        <f ca="1"/>
        <v>52.35</v>
      </c>
      <c r="AT59" s="2" vm="1476">
        <f ca="1"/>
        <v>52.64</v>
      </c>
      <c r="AU59" s="2" vm="1477">
        <f ca="1"/>
        <v>51.58</v>
      </c>
      <c r="AV59" s="2">
        <f ca="1">U59/U$4</f>
        <v>7.5338663113479906E-2</v>
      </c>
      <c r="AW59" s="2">
        <f ca="1">V59/V$4</f>
        <v>7.4339781482769346E-2</v>
      </c>
      <c r="AX59" s="2">
        <f ca="1">W59/W$4</f>
        <v>7.3671167477541502E-2</v>
      </c>
      <c r="AY59" s="2">
        <f ca="1">X59/X$4</f>
        <v>7.3554345081346284E-2</v>
      </c>
      <c r="AZ59" s="2">
        <f ca="1">Y59/Y$4</f>
        <v>7.2922069791983402E-2</v>
      </c>
      <c r="BA59" s="2">
        <f ca="1">Z59/Z$4</f>
        <v>7.2774505791711894E-2</v>
      </c>
      <c r="BB59" s="2">
        <f ca="1">AA59/AA$4</f>
        <v>7.3022528604932121E-2</v>
      </c>
      <c r="BC59" s="2">
        <f ca="1">AB59/AB$4</f>
        <v>7.3649812634308337E-2</v>
      </c>
      <c r="BD59" s="2">
        <f ca="1">AC59/AC$4</f>
        <v>7.351264695404347E-2</v>
      </c>
      <c r="BE59" s="2">
        <f ca="1">AD59/AD$4</f>
        <v>7.4696136467126695E-2</v>
      </c>
      <c r="BF59" s="2">
        <f ca="1">AE59/AE$4</f>
        <v>7.507259128904531E-2</v>
      </c>
      <c r="BG59" s="2">
        <f ca="1">AF59/AF$4</f>
        <v>7.5973809398423658E-2</v>
      </c>
      <c r="BH59" s="2">
        <f ca="1">AG59/AG$4</f>
        <v>8.2548573429021527E-2</v>
      </c>
      <c r="BI59" s="2">
        <f ca="1">AH59/AH$4</f>
        <v>8.0836432531050453E-2</v>
      </c>
      <c r="BJ59" s="2">
        <f ca="1">AI59/AI$4</f>
        <v>8.7541499213699123E-2</v>
      </c>
      <c r="BK59" s="2">
        <f ca="1">AJ59/AJ$4</f>
        <v>8.9226031112744325E-2</v>
      </c>
      <c r="BL59" s="2">
        <f ca="1">AK59/AK$4</f>
        <v>8.8730479643056331E-2</v>
      </c>
      <c r="BM59" s="2">
        <f ca="1">AL59/AL$4</f>
        <v>9.3172945024796866E-2</v>
      </c>
      <c r="BN59" s="2">
        <f ca="1">AM59/AM$4</f>
        <v>9.9286291882009631E-2</v>
      </c>
      <c r="BO59" s="2">
        <f ca="1">AN59/AN$4</f>
        <v>9.6844070303969562E-2</v>
      </c>
      <c r="BP59" s="2">
        <f ca="1">AO59/AO$4</f>
        <v>9.9479912038814622E-2</v>
      </c>
      <c r="BQ59" s="2">
        <f ca="1">AP59/AP$4</f>
        <v>0.10508982035928145</v>
      </c>
      <c r="BR59" s="2">
        <f ca="1">AQ59/AQ$4</f>
        <v>9.2852033428127784E-2</v>
      </c>
      <c r="BS59" s="2">
        <f ca="1">AR59/AR$4</f>
        <v>9.0038812073327104E-2</v>
      </c>
      <c r="BT59" s="2">
        <f ca="1">AS59/AS$4</f>
        <v>9.0864908961519109E-2</v>
      </c>
      <c r="BU59" s="2"/>
      <c r="BV59" s="2">
        <f ca="1">EOMONTH(TODAY(), -1)</f>
        <v>45565</v>
      </c>
      <c r="BW59" s="2" cm="1" vm="1467">
        <f t="array" aca="1" ref="BW59" ca="1">_xlfn.STOCKHISTORY(P59,BV59, BV59, 0, 0, 1)</f>
        <v>50.91</v>
      </c>
      <c r="BX59" s="7">
        <f ca="1">IF(BW59&lt;&gt;0, (AU59 -BW59) / BW59, "N/A")</f>
        <v>1.3160479277155799E-2</v>
      </c>
      <c r="BY59" s="7"/>
      <c r="BZ59" s="7"/>
      <c r="CA59" s="8">
        <f ca="1">TODAY() - WEEKDAY(TODAY(), 2) + 1</f>
        <v>45579</v>
      </c>
      <c r="CB59" s="7" cm="1" vm="1477">
        <f t="array" aca="1" ref="CB59" ca="1">IFERROR(_xlfn.STOCKHISTORY(P59, WORKDAY(CA59, 0), WORKDAY(CA59, 0), 0, 0, 1), "N/A")</f>
        <v>51.58</v>
      </c>
      <c r="CC59" s="9">
        <f ca="1">IF(CB59&lt;&gt;0, (AU59 - CB59) / CB59, "N/A")</f>
        <v>0</v>
      </c>
      <c r="CD59" s="10">
        <f ca="1">TODAY() - WEEKDAY(TODAY(), 2) - 2</f>
        <v>45576</v>
      </c>
      <c r="CE59" s="11" cm="1" vm="1476">
        <f t="array" aca="1" ref="CE59" ca="1">IFERROR(_xlfn.STOCKHISTORY(P59, WORKDAY(CD59, 0), WORKDAY(CD59, 0), 0, 0, 1), "N/A")</f>
        <v>52.64</v>
      </c>
      <c r="CF59" s="12">
        <f ca="1">IF(CE59&lt;&gt;0, (AU59 - CE59) / CE59, "N/A")</f>
        <v>-2.0136778115501564E-2</v>
      </c>
      <c r="CG59" s="7"/>
      <c r="CH59" s="2"/>
    </row>
  </sheetData>
  <sortState xmlns:xlrd2="http://schemas.microsoft.com/office/spreadsheetml/2017/richdata2" ref="A6:XFD62">
    <sortCondition descending="1" ref="H6:H62"/>
  </sortState>
  <conditionalFormatting sqref="D1:F1048576">
    <cfRule type="dataBar" priority="4">
      <dataBar>
        <cfvo type="min"/>
        <cfvo type="max"/>
        <color rgb="FF63C384"/>
      </dataBar>
      <extLst>
        <ext xmlns:x14="http://schemas.microsoft.com/office/spreadsheetml/2009/9/main" uri="{B025F937-C7B1-47D3-B67F-A62EFF666E3E}">
          <x14:id>{72B98639-6CC5-4B90-B418-BB20126A2DD4}</x14:id>
        </ext>
      </extLst>
    </cfRule>
  </conditionalFormatting>
  <conditionalFormatting sqref="D1:D1048576">
    <cfRule type="dataBar" priority="3">
      <dataBar>
        <cfvo type="min"/>
        <cfvo type="max"/>
        <color rgb="FF63C384"/>
      </dataBar>
      <extLst>
        <ext xmlns:x14="http://schemas.microsoft.com/office/spreadsheetml/2009/9/main" uri="{B025F937-C7B1-47D3-B67F-A62EFF666E3E}">
          <x14:id>{4094CC80-6660-43E1-A544-77C1D353DF4F}</x14:id>
        </ext>
      </extLst>
    </cfRule>
  </conditionalFormatting>
  <conditionalFormatting sqref="G4">
    <cfRule type="dataBar" priority="33">
      <dataBar>
        <cfvo type="min"/>
        <cfvo type="max"/>
        <color rgb="FF92D050"/>
      </dataBar>
      <extLst>
        <ext xmlns:x14="http://schemas.microsoft.com/office/spreadsheetml/2009/9/main" uri="{B025F937-C7B1-47D3-B67F-A62EFF666E3E}">
          <x14:id>{7BA604E1-1037-49C1-86FD-A4CE943FA3F2}</x14:id>
        </ext>
      </extLst>
    </cfRule>
    <cfRule type="dataBar" priority="34">
      <dataBar>
        <cfvo type="min"/>
        <cfvo type="max"/>
        <color rgb="FF92D050"/>
      </dataBar>
      <extLst>
        <ext xmlns:x14="http://schemas.microsoft.com/office/spreadsheetml/2009/9/main" uri="{B025F937-C7B1-47D3-B67F-A62EFF666E3E}">
          <x14:id>{C4EE8F57-EB81-43D5-B73C-D84C15781554}</x14:id>
        </ext>
      </extLst>
    </cfRule>
  </conditionalFormatting>
  <conditionalFormatting sqref="H4">
    <cfRule type="dataBar" priority="35">
      <dataBar>
        <cfvo type="min"/>
        <cfvo type="max"/>
        <color rgb="FF92D050"/>
      </dataBar>
      <extLst>
        <ext xmlns:x14="http://schemas.microsoft.com/office/spreadsheetml/2009/9/main" uri="{B025F937-C7B1-47D3-B67F-A62EFF666E3E}">
          <x14:id>{85A962DA-1939-4BD6-A26C-3F8A16FF7EF2}</x14:id>
        </ext>
      </extLst>
    </cfRule>
    <cfRule type="dataBar" priority="36">
      <dataBar>
        <cfvo type="min"/>
        <cfvo type="max"/>
        <color rgb="FF92D050"/>
      </dataBar>
      <extLst>
        <ext xmlns:x14="http://schemas.microsoft.com/office/spreadsheetml/2009/9/main" uri="{B025F937-C7B1-47D3-B67F-A62EFF666E3E}">
          <x14:id>{6A42CA7F-1D05-4CF1-99B9-C00CEF8533EE}</x14:id>
        </ext>
      </extLst>
    </cfRule>
  </conditionalFormatting>
  <conditionalFormatting sqref="G6:G59">
    <cfRule type="dataBar" priority="87">
      <dataBar>
        <cfvo type="min"/>
        <cfvo type="max"/>
        <color rgb="FF92D050"/>
      </dataBar>
      <extLst>
        <ext xmlns:x14="http://schemas.microsoft.com/office/spreadsheetml/2009/9/main" uri="{B025F937-C7B1-47D3-B67F-A62EFF666E3E}">
          <x14:id>{BC41B0FD-7281-4859-BF54-E06708BDF1BD}</x14:id>
        </ext>
      </extLst>
    </cfRule>
    <cfRule type="dataBar" priority="88">
      <dataBar>
        <cfvo type="min"/>
        <cfvo type="max"/>
        <color rgb="FF92D050"/>
      </dataBar>
      <extLst>
        <ext xmlns:x14="http://schemas.microsoft.com/office/spreadsheetml/2009/9/main" uri="{B025F937-C7B1-47D3-B67F-A62EFF666E3E}">
          <x14:id>{24B04F5F-39EC-4A7B-901D-2EC963382CB0}</x14:id>
        </ext>
      </extLst>
    </cfRule>
  </conditionalFormatting>
  <conditionalFormatting sqref="H6:H59">
    <cfRule type="dataBar" priority="91">
      <dataBar>
        <cfvo type="min"/>
        <cfvo type="max"/>
        <color rgb="FF92D050"/>
      </dataBar>
      <extLst>
        <ext xmlns:x14="http://schemas.microsoft.com/office/spreadsheetml/2009/9/main" uri="{B025F937-C7B1-47D3-B67F-A62EFF666E3E}">
          <x14:id>{2A5E3705-DECF-4930-B6FD-D8D98EF5F78D}</x14:id>
        </ext>
      </extLst>
    </cfRule>
    <cfRule type="dataBar" priority="92">
      <dataBar>
        <cfvo type="min"/>
        <cfvo type="max"/>
        <color rgb="FF92D050"/>
      </dataBar>
      <extLst>
        <ext xmlns:x14="http://schemas.microsoft.com/office/spreadsheetml/2009/9/main" uri="{B025F937-C7B1-47D3-B67F-A62EFF666E3E}">
          <x14:id>{1047D75A-7E38-47F3-A7AD-E38DD83A51F6}</x14:id>
        </ext>
      </extLst>
    </cfRule>
  </conditionalFormatting>
  <conditionalFormatting sqref="I6:I59 I4">
    <cfRule type="dataBar" priority="95">
      <dataBar>
        <cfvo type="min"/>
        <cfvo type="max"/>
        <color rgb="FF92D050"/>
      </dataBar>
      <extLst>
        <ext xmlns:x14="http://schemas.microsoft.com/office/spreadsheetml/2009/9/main" uri="{B025F937-C7B1-47D3-B67F-A62EFF666E3E}">
          <x14:id>{D488F401-DF56-433E-8334-3F337B4942F0}</x14:id>
        </ext>
      </extLst>
    </cfRule>
    <cfRule type="dataBar" priority="96">
      <dataBar>
        <cfvo type="min"/>
        <cfvo type="max"/>
        <color rgb="FF92D050"/>
      </dataBar>
      <extLst>
        <ext xmlns:x14="http://schemas.microsoft.com/office/spreadsheetml/2009/9/main" uri="{B025F937-C7B1-47D3-B67F-A62EFF666E3E}">
          <x14:id>{0D13190A-4EFE-4492-A283-073781002A1D}</x14:id>
        </ext>
      </extLst>
    </cfRule>
  </conditionalFormatting>
  <conditionalFormatting sqref="G2">
    <cfRule type="dataBar" priority="2">
      <dataBar>
        <cfvo type="min"/>
        <cfvo type="max"/>
        <color rgb="FF63C384"/>
      </dataBar>
      <extLst>
        <ext xmlns:x14="http://schemas.microsoft.com/office/spreadsheetml/2009/9/main" uri="{B025F937-C7B1-47D3-B67F-A62EFF666E3E}">
          <x14:id>{0708D6E4-DCCB-483C-86F7-681E27A1EEA3}</x14:id>
        </ext>
      </extLst>
    </cfRule>
  </conditionalFormatting>
  <conditionalFormatting sqref="I2">
    <cfRule type="dataBar" priority="1">
      <dataBar>
        <cfvo type="min"/>
        <cfvo type="max"/>
        <color rgb="FF63C384"/>
      </dataBar>
      <extLst>
        <ext xmlns:x14="http://schemas.microsoft.com/office/spreadsheetml/2009/9/main" uri="{B025F937-C7B1-47D3-B67F-A62EFF666E3E}">
          <x14:id>{4FED6123-2AC0-468D-90E0-3ADE36790AB0}</x14:id>
        </ext>
      </extLst>
    </cfRule>
  </conditionalFormatting>
  <pageMargins left="0.7" right="0.7" top="0.75" bottom="0.75" header="0.3" footer="0.3"/>
  <ignoredErrors>
    <ignoredError sqref="K4"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eet1.SortCase1">
                <anchor moveWithCells="1" sizeWithCells="1">
                  <from>
                    <xdr:col>8</xdr:col>
                    <xdr:colOff>5443</xdr:colOff>
                    <xdr:row>0</xdr:row>
                    <xdr:rowOff>38100</xdr:rowOff>
                  </from>
                  <to>
                    <xdr:col>8</xdr:col>
                    <xdr:colOff>647700</xdr:colOff>
                    <xdr:row>0</xdr:row>
                    <xdr:rowOff>179614</xdr:rowOff>
                  </to>
                </anchor>
              </controlPr>
            </control>
          </mc:Choice>
        </mc:AlternateContent>
        <mc:AlternateContent xmlns:mc="http://schemas.openxmlformats.org/markup-compatibility/2006">
          <mc:Choice Requires="x14">
            <control shapeId="1029" r:id="rId4" name="Button 5">
              <controlPr defaultSize="0" print="0" autoFill="0" autoPict="0" macro="[0]!Sheet1.SortCase2">
                <anchor moveWithCells="1" sizeWithCells="1">
                  <from>
                    <xdr:col>6</xdr:col>
                    <xdr:colOff>5443</xdr:colOff>
                    <xdr:row>0</xdr:row>
                    <xdr:rowOff>27214</xdr:rowOff>
                  </from>
                  <to>
                    <xdr:col>7</xdr:col>
                    <xdr:colOff>0</xdr:colOff>
                    <xdr:row>0</xdr:row>
                    <xdr:rowOff>185057</xdr:rowOff>
                  </to>
                </anchor>
              </controlPr>
            </control>
          </mc:Choice>
        </mc:AlternateContent>
        <mc:AlternateContent xmlns:mc="http://schemas.openxmlformats.org/markup-compatibility/2006">
          <mc:Choice Requires="x14">
            <control shapeId="1030" r:id="rId5" name="Button 6">
              <controlPr defaultSize="0" print="0" autoFill="0" autoPict="0" macro="[0]!Sheet1.SortCase3">
                <anchor moveWithCells="1" sizeWithCells="1">
                  <from>
                    <xdr:col>2</xdr:col>
                    <xdr:colOff>1703614</xdr:colOff>
                    <xdr:row>0</xdr:row>
                    <xdr:rowOff>43543</xdr:rowOff>
                  </from>
                  <to>
                    <xdr:col>4</xdr:col>
                    <xdr:colOff>0</xdr:colOff>
                    <xdr:row>0</xdr:row>
                    <xdr:rowOff>179614</xdr:rowOff>
                  </to>
                </anchor>
              </controlPr>
            </control>
          </mc:Choice>
        </mc:AlternateContent>
        <mc:AlternateContent xmlns:mc="http://schemas.openxmlformats.org/markup-compatibility/2006">
          <mc:Choice Requires="x14">
            <control shapeId="1031" r:id="rId6" name="Button 7">
              <controlPr defaultSize="0" print="0" autoFill="0" autoPict="0" macro="[0]!Sheet1.SortCase4">
                <anchor moveWithCells="1" sizeWithCells="1">
                  <from>
                    <xdr:col>7</xdr:col>
                    <xdr:colOff>16329</xdr:colOff>
                    <xdr:row>1</xdr:row>
                    <xdr:rowOff>21771</xdr:rowOff>
                  </from>
                  <to>
                    <xdr:col>7</xdr:col>
                    <xdr:colOff>566057</xdr:colOff>
                    <xdr:row>1</xdr:row>
                    <xdr:rowOff>163286</xdr:rowOff>
                  </to>
                </anchor>
              </controlPr>
            </control>
          </mc:Choice>
        </mc:AlternateContent>
        <mc:AlternateContent xmlns:mc="http://schemas.openxmlformats.org/markup-compatibility/2006">
          <mc:Choice Requires="x14">
            <control shapeId="1032" r:id="rId7" name="Button 8">
              <controlPr defaultSize="0" print="0" autoFill="0" autoPict="0" macro="[0]!Sheet1.SortCase5">
                <anchor moveWithCells="1" sizeWithCells="1">
                  <from>
                    <xdr:col>10</xdr:col>
                    <xdr:colOff>21771</xdr:colOff>
                    <xdr:row>1</xdr:row>
                    <xdr:rowOff>32657</xdr:rowOff>
                  </from>
                  <to>
                    <xdr:col>10</xdr:col>
                    <xdr:colOff>598714</xdr:colOff>
                    <xdr:row>1</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2B98639-6CC5-4B90-B418-BB20126A2DD4}">
            <x14:dataBar minLength="0" maxLength="100" border="1" negativeBarBorderColorSameAsPositive="0">
              <x14:cfvo type="autoMin"/>
              <x14:cfvo type="autoMax"/>
              <x14:borderColor rgb="FF63C384"/>
              <x14:negativeFillColor rgb="FFFF0000"/>
              <x14:negativeBorderColor rgb="FFFF0000"/>
              <x14:axisColor rgb="FF000000"/>
            </x14:dataBar>
          </x14:cfRule>
          <xm:sqref>D1:F1048576</xm:sqref>
        </x14:conditionalFormatting>
        <x14:conditionalFormatting xmlns:xm="http://schemas.microsoft.com/office/excel/2006/main">
          <x14:cfRule type="dataBar" id="{4094CC80-6660-43E1-A544-77C1D353DF4F}">
            <x14:dataBar minLength="0" maxLength="100" border="1" negativeBarBorderColorSameAsPositive="0">
              <x14:cfvo type="autoMin"/>
              <x14:cfvo type="autoMax"/>
              <x14:borderColor rgb="FF63C384"/>
              <x14:negativeFillColor rgb="FFFF0000"/>
              <x14:negativeBorderColor rgb="FFFF0000"/>
              <x14:axisColor rgb="FF000000"/>
            </x14:dataBar>
          </x14:cfRule>
          <xm:sqref>D1:D1048576</xm:sqref>
        </x14:conditionalFormatting>
        <x14:conditionalFormatting xmlns:xm="http://schemas.microsoft.com/office/excel/2006/main">
          <x14:cfRule type="dataBar" id="{7BA604E1-1037-49C1-86FD-A4CE943FA3F2}">
            <x14:dataBar minLength="0" maxLength="100">
              <x14:cfvo type="autoMin"/>
              <x14:cfvo type="autoMax"/>
              <x14:negativeFillColor rgb="FFFF0000"/>
              <x14:axisColor rgb="FF000000"/>
            </x14:dataBar>
          </x14:cfRule>
          <x14:cfRule type="dataBar" id="{C4EE8F57-EB81-43D5-B73C-D84C15781554}">
            <x14:dataBar minLength="0" maxLength="100">
              <x14:cfvo type="autoMin"/>
              <x14:cfvo type="autoMax"/>
              <x14:negativeFillColor rgb="FFFF0000"/>
              <x14:axisColor rgb="FF000000"/>
            </x14:dataBar>
          </x14:cfRule>
          <xm:sqref>G4</xm:sqref>
        </x14:conditionalFormatting>
        <x14:conditionalFormatting xmlns:xm="http://schemas.microsoft.com/office/excel/2006/main">
          <x14:cfRule type="dataBar" id="{85A962DA-1939-4BD6-A26C-3F8A16FF7EF2}">
            <x14:dataBar minLength="0" maxLength="100">
              <x14:cfvo type="autoMin"/>
              <x14:cfvo type="autoMax"/>
              <x14:negativeFillColor rgb="FFFF0000"/>
              <x14:axisColor rgb="FF000000"/>
            </x14:dataBar>
          </x14:cfRule>
          <x14:cfRule type="dataBar" id="{6A42CA7F-1D05-4CF1-99B9-C00CEF8533EE}">
            <x14:dataBar minLength="0" maxLength="100">
              <x14:cfvo type="autoMin"/>
              <x14:cfvo type="autoMax"/>
              <x14:negativeFillColor rgb="FFFF0000"/>
              <x14:axisColor rgb="FF000000"/>
            </x14:dataBar>
          </x14:cfRule>
          <xm:sqref>H4</xm:sqref>
        </x14:conditionalFormatting>
        <x14:conditionalFormatting xmlns:xm="http://schemas.microsoft.com/office/excel/2006/main">
          <x14:cfRule type="dataBar" id="{BC41B0FD-7281-4859-BF54-E06708BDF1BD}">
            <x14:dataBar minLength="0" maxLength="100">
              <x14:cfvo type="autoMin"/>
              <x14:cfvo type="autoMax"/>
              <x14:negativeFillColor rgb="FFFF0000"/>
              <x14:axisColor rgb="FF000000"/>
            </x14:dataBar>
          </x14:cfRule>
          <x14:cfRule type="dataBar" id="{24B04F5F-39EC-4A7B-901D-2EC963382CB0}">
            <x14:dataBar minLength="0" maxLength="100">
              <x14:cfvo type="autoMin"/>
              <x14:cfvo type="autoMax"/>
              <x14:negativeFillColor rgb="FFFF0000"/>
              <x14:axisColor rgb="FF000000"/>
            </x14:dataBar>
          </x14:cfRule>
          <xm:sqref>G6:G59</xm:sqref>
        </x14:conditionalFormatting>
        <x14:conditionalFormatting xmlns:xm="http://schemas.microsoft.com/office/excel/2006/main">
          <x14:cfRule type="dataBar" id="{2A5E3705-DECF-4930-B6FD-D8D98EF5F78D}">
            <x14:dataBar minLength="0" maxLength="100">
              <x14:cfvo type="autoMin"/>
              <x14:cfvo type="autoMax"/>
              <x14:negativeFillColor rgb="FFFF0000"/>
              <x14:axisColor rgb="FF000000"/>
            </x14:dataBar>
          </x14:cfRule>
          <x14:cfRule type="dataBar" id="{1047D75A-7E38-47F3-A7AD-E38DD83A51F6}">
            <x14:dataBar minLength="0" maxLength="100">
              <x14:cfvo type="autoMin"/>
              <x14:cfvo type="autoMax"/>
              <x14:negativeFillColor rgb="FFFF0000"/>
              <x14:axisColor rgb="FF000000"/>
            </x14:dataBar>
          </x14:cfRule>
          <xm:sqref>H6:H59</xm:sqref>
        </x14:conditionalFormatting>
        <x14:conditionalFormatting xmlns:xm="http://schemas.microsoft.com/office/excel/2006/main">
          <x14:cfRule type="dataBar" id="{D488F401-DF56-433E-8334-3F337B4942F0}">
            <x14:dataBar minLength="0" maxLength="100">
              <x14:cfvo type="autoMin"/>
              <x14:cfvo type="autoMax"/>
              <x14:negativeFillColor rgb="FFFF0000"/>
              <x14:axisColor rgb="FF000000"/>
            </x14:dataBar>
          </x14:cfRule>
          <x14:cfRule type="dataBar" id="{0D13190A-4EFE-4492-A283-073781002A1D}">
            <x14:dataBar minLength="0" maxLength="100">
              <x14:cfvo type="autoMin"/>
              <x14:cfvo type="autoMax"/>
              <x14:negativeFillColor rgb="FFFF0000"/>
              <x14:axisColor rgb="FF000000"/>
            </x14:dataBar>
          </x14:cfRule>
          <xm:sqref>I6:I59 I4</xm:sqref>
        </x14:conditionalFormatting>
        <x14:conditionalFormatting xmlns:xm="http://schemas.microsoft.com/office/excel/2006/main">
          <x14:cfRule type="dataBar" id="{0708D6E4-DCCB-483C-86F7-681E27A1EEA3}">
            <x14:dataBar minLength="0" maxLength="100" border="1" negativeBarBorderColorSameAsPositive="0">
              <x14:cfvo type="autoMin"/>
              <x14:cfvo type="autoMax"/>
              <x14:borderColor rgb="FF63C384"/>
              <x14:negativeFillColor rgb="FFFF0000"/>
              <x14:negativeBorderColor rgb="FFFF0000"/>
              <x14:axisColor rgb="FF000000"/>
            </x14:dataBar>
          </x14:cfRule>
          <xm:sqref>G2</xm:sqref>
        </x14:conditionalFormatting>
        <x14:conditionalFormatting xmlns:xm="http://schemas.microsoft.com/office/excel/2006/main">
          <x14:cfRule type="dataBar" id="{4FED6123-2AC0-468D-90E0-3ADE36790AB0}">
            <x14:dataBar minLength="0" maxLength="100" border="1" negativeBarBorderColorSameAsPositive="0">
              <x14:cfvo type="autoMin"/>
              <x14:cfvo type="autoMax"/>
              <x14:borderColor rgb="FF63C384"/>
              <x14:negativeFillColor rgb="FFFF0000"/>
              <x14:negativeBorderColor rgb="FFFF0000"/>
              <x14:axisColor rgb="FF000000"/>
            </x14:dataBar>
          </x14:cfRule>
          <xm:sqref>I2</xm:sqref>
        </x14:conditionalFormatting>
      </x14:conditionalFormattings>
    </ext>
    <ext xmlns:x14="http://schemas.microsoft.com/office/spreadsheetml/2009/9/main" uri="{05C60535-1F16-4fd2-B633-F4F36F0B64E0}">
      <x14:sparklineGroups xmlns:xm="http://schemas.microsoft.com/office/excel/2006/main">
        <x14:sparklineGroup type="column" displayEmptyCellsAs="gap" high="1" low="1" first="1" xr2:uid="{9ED6F0B0-0DD7-4F77-B013-72C8ABD65DFE}">
          <x14:colorSeries theme="6" tint="0.59999389629810485"/>
          <x14:colorNegative rgb="FFD00000"/>
          <x14:colorAxis rgb="FF000000"/>
          <x14:colorMarkers rgb="FFD00000"/>
          <x14:colorFirst rgb="FFFF0000"/>
          <x14:colorLast rgb="FFD00000"/>
          <x14:colorHigh theme="9" tint="-0.249977111117893"/>
          <x14:colorLow rgb="FFFF0000"/>
          <x14:sparklines>
            <x14:sparkline>
              <xm:f>Sheet1!AV6:BT6</xm:f>
              <xm:sqref>C6</xm:sqref>
            </x14:sparkline>
            <x14:sparkline>
              <xm:f>Sheet1!AV7:BT7</xm:f>
              <xm:sqref>C7</xm:sqref>
            </x14:sparkline>
            <x14:sparkline>
              <xm:f>Sheet1!AV8:BT8</xm:f>
              <xm:sqref>C8</xm:sqref>
            </x14:sparkline>
            <x14:sparkline>
              <xm:f>Sheet1!AV9:BT9</xm:f>
              <xm:sqref>C9</xm:sqref>
            </x14:sparkline>
            <x14:sparkline>
              <xm:f>Sheet1!AV10:BT10</xm:f>
              <xm:sqref>C10</xm:sqref>
            </x14:sparkline>
            <x14:sparkline>
              <xm:f>Sheet1!AV11:BT11</xm:f>
              <xm:sqref>C11</xm:sqref>
            </x14:sparkline>
            <x14:sparkline>
              <xm:f>Sheet1!AV12:BT12</xm:f>
              <xm:sqref>C12</xm:sqref>
            </x14:sparkline>
            <x14:sparkline>
              <xm:f>Sheet1!AV13:BT13</xm:f>
              <xm:sqref>C13</xm:sqref>
            </x14:sparkline>
            <x14:sparkline>
              <xm:f>Sheet1!AV14:BT14</xm:f>
              <xm:sqref>C14</xm:sqref>
            </x14:sparkline>
            <x14:sparkline>
              <xm:f>Sheet1!AV15:BT15</xm:f>
              <xm:sqref>C15</xm:sqref>
            </x14:sparkline>
            <x14:sparkline>
              <xm:f>Sheet1!AV16:BT16</xm:f>
              <xm:sqref>C16</xm:sqref>
            </x14:sparkline>
            <x14:sparkline>
              <xm:f>Sheet1!AV17:BT17</xm:f>
              <xm:sqref>C17</xm:sqref>
            </x14:sparkline>
            <x14:sparkline>
              <xm:f>Sheet1!AV18:BT18</xm:f>
              <xm:sqref>C18</xm:sqref>
            </x14:sparkline>
            <x14:sparkline>
              <xm:f>Sheet1!AV19:BT19</xm:f>
              <xm:sqref>C19</xm:sqref>
            </x14:sparkline>
            <x14:sparkline>
              <xm:f>Sheet1!AV20:BT20</xm:f>
              <xm:sqref>C20</xm:sqref>
            </x14:sparkline>
            <x14:sparkline>
              <xm:f>Sheet1!AV21:BT21</xm:f>
              <xm:sqref>C21</xm:sqref>
            </x14:sparkline>
            <x14:sparkline>
              <xm:f>Sheet1!AV22:BT22</xm:f>
              <xm:sqref>C22</xm:sqref>
            </x14:sparkline>
            <x14:sparkline>
              <xm:f>Sheet1!AV23:BT23</xm:f>
              <xm:sqref>C23</xm:sqref>
            </x14:sparkline>
            <x14:sparkline>
              <xm:f>Sheet1!AV24:BT24</xm:f>
              <xm:sqref>C24</xm:sqref>
            </x14:sparkline>
            <x14:sparkline>
              <xm:f>Sheet1!AV25:BT25</xm:f>
              <xm:sqref>C25</xm:sqref>
            </x14:sparkline>
            <x14:sparkline>
              <xm:f>Sheet1!AV26:BT26</xm:f>
              <xm:sqref>C26</xm:sqref>
            </x14:sparkline>
            <x14:sparkline>
              <xm:f>Sheet1!AV27:BT27</xm:f>
              <xm:sqref>C27</xm:sqref>
            </x14:sparkline>
            <x14:sparkline>
              <xm:f>Sheet1!AV28:BT28</xm:f>
              <xm:sqref>C28</xm:sqref>
            </x14:sparkline>
            <x14:sparkline>
              <xm:f>Sheet1!AV29:BT29</xm:f>
              <xm:sqref>C29</xm:sqref>
            </x14:sparkline>
            <x14:sparkline>
              <xm:f>Sheet1!AV30:BT30</xm:f>
              <xm:sqref>C30</xm:sqref>
            </x14:sparkline>
            <x14:sparkline>
              <xm:f>Sheet1!AV31:BT31</xm:f>
              <xm:sqref>C31</xm:sqref>
            </x14:sparkline>
            <x14:sparkline>
              <xm:f>Sheet1!AV32:BT32</xm:f>
              <xm:sqref>C32</xm:sqref>
            </x14:sparkline>
            <x14:sparkline>
              <xm:f>Sheet1!AV33:BT33</xm:f>
              <xm:sqref>C33</xm:sqref>
            </x14:sparkline>
            <x14:sparkline>
              <xm:f>Sheet1!AV34:BT34</xm:f>
              <xm:sqref>C34</xm:sqref>
            </x14:sparkline>
            <x14:sparkline>
              <xm:f>Sheet1!AV35:BT35</xm:f>
              <xm:sqref>C35</xm:sqref>
            </x14:sparkline>
            <x14:sparkline>
              <xm:f>Sheet1!AV36:BT36</xm:f>
              <xm:sqref>C36</xm:sqref>
            </x14:sparkline>
            <x14:sparkline>
              <xm:f>Sheet1!AV37:BT37</xm:f>
              <xm:sqref>C37</xm:sqref>
            </x14:sparkline>
            <x14:sparkline>
              <xm:f>Sheet1!AV38:BT38</xm:f>
              <xm:sqref>C38</xm:sqref>
            </x14:sparkline>
            <x14:sparkline>
              <xm:f>Sheet1!AV39:BT39</xm:f>
              <xm:sqref>C39</xm:sqref>
            </x14:sparkline>
            <x14:sparkline>
              <xm:f>Sheet1!AV40:BT40</xm:f>
              <xm:sqref>C40</xm:sqref>
            </x14:sparkline>
            <x14:sparkline>
              <xm:f>Sheet1!AV41:BT41</xm:f>
              <xm:sqref>C41</xm:sqref>
            </x14:sparkline>
            <x14:sparkline>
              <xm:f>Sheet1!AV42:BT42</xm:f>
              <xm:sqref>C42</xm:sqref>
            </x14:sparkline>
            <x14:sparkline>
              <xm:f>Sheet1!AV43:BT43</xm:f>
              <xm:sqref>C43</xm:sqref>
            </x14:sparkline>
            <x14:sparkline>
              <xm:f>Sheet1!AV44:BT44</xm:f>
              <xm:sqref>C44</xm:sqref>
            </x14:sparkline>
            <x14:sparkline>
              <xm:f>Sheet1!AV45:BT45</xm:f>
              <xm:sqref>C45</xm:sqref>
            </x14:sparkline>
            <x14:sparkline>
              <xm:f>Sheet1!AV46:BT46</xm:f>
              <xm:sqref>C46</xm:sqref>
            </x14:sparkline>
            <x14:sparkline>
              <xm:f>Sheet1!AV47:BT47</xm:f>
              <xm:sqref>C47</xm:sqref>
            </x14:sparkline>
            <x14:sparkline>
              <xm:f>Sheet1!AV48:BT48</xm:f>
              <xm:sqref>C48</xm:sqref>
            </x14:sparkline>
            <x14:sparkline>
              <xm:f>Sheet1!AV49:BT49</xm:f>
              <xm:sqref>C49</xm:sqref>
            </x14:sparkline>
            <x14:sparkline>
              <xm:f>Sheet1!AV50:BT50</xm:f>
              <xm:sqref>C50</xm:sqref>
            </x14:sparkline>
            <x14:sparkline>
              <xm:f>Sheet1!AV51:BT51</xm:f>
              <xm:sqref>C51</xm:sqref>
            </x14:sparkline>
            <x14:sparkline>
              <xm:f>Sheet1!AV52:BT52</xm:f>
              <xm:sqref>C52</xm:sqref>
            </x14:sparkline>
            <x14:sparkline>
              <xm:f>Sheet1!AV53:BT53</xm:f>
              <xm:sqref>C53</xm:sqref>
            </x14:sparkline>
            <x14:sparkline>
              <xm:f>Sheet1!AV54:BT54</xm:f>
              <xm:sqref>C54</xm:sqref>
            </x14:sparkline>
            <x14:sparkline>
              <xm:f>Sheet1!AV55:BT55</xm:f>
              <xm:sqref>C55</xm:sqref>
            </x14:sparkline>
            <x14:sparkline>
              <xm:f>Sheet1!AV56:BT56</xm:f>
              <xm:sqref>C56</xm:sqref>
            </x14:sparkline>
            <x14:sparkline>
              <xm:f>Sheet1!AV57:BT57</xm:f>
              <xm:sqref>C57</xm:sqref>
            </x14:sparkline>
            <x14:sparkline>
              <xm:f>Sheet1!AV58:BT58</xm:f>
              <xm:sqref>C58</xm:sqref>
            </x14:sparkline>
            <x14:sparkline>
              <xm:f>Sheet1!AV59:BT59</xm:f>
              <xm:sqref>C59</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0C7FC-20D9-48E0-8D89-8202A44E2E85}">
  <sheetPr codeName="Sheet2"/>
  <dimension ref="A1:A57"/>
  <sheetViews>
    <sheetView workbookViewId="0">
      <selection activeCell="G8" sqref="G8"/>
    </sheetView>
  </sheetViews>
  <sheetFormatPr defaultRowHeight="14.6" x14ac:dyDescent="0.4"/>
  <sheetData>
    <row r="1" spans="1:1" x14ac:dyDescent="0.4">
      <c r="A1" s="2" t="e" cm="1" vm="1478">
        <f t="array" ref="A1">_FV(#REF!,"Ticker-Symbol",TRUE)</f>
        <v>#VALUE!</v>
      </c>
    </row>
    <row r="2" spans="1:1" x14ac:dyDescent="0.4">
      <c r="A2" s="2"/>
    </row>
    <row r="3" spans="1:1" x14ac:dyDescent="0.4">
      <c r="A3" s="14" t="s">
        <v>24</v>
      </c>
    </row>
    <row r="4" spans="1:1" x14ac:dyDescent="0.4">
      <c r="A4" s="2" t="e" cm="1" vm="1478">
        <f t="array" ref="A4">_FV(#REF!,"Ticker-Symbol",TRUE)</f>
        <v>#VALUE!</v>
      </c>
    </row>
    <row r="5" spans="1:1" x14ac:dyDescent="0.4">
      <c r="A5" s="2" t="e" cm="1" vm="1478">
        <f t="array" ref="A5">_FV(#REF!,"Ticker-Symbol",TRUE)</f>
        <v>#VALUE!</v>
      </c>
    </row>
    <row r="6" spans="1:1" x14ac:dyDescent="0.4">
      <c r="A6" s="14" t="s">
        <v>28</v>
      </c>
    </row>
    <row r="7" spans="1:1" x14ac:dyDescent="0.4">
      <c r="A7" s="14" t="s">
        <v>26</v>
      </c>
    </row>
    <row r="8" spans="1:1" x14ac:dyDescent="0.4">
      <c r="A8" s="14" t="s">
        <v>33</v>
      </c>
    </row>
    <row r="9" spans="1:1" x14ac:dyDescent="0.4">
      <c r="A9" s="14" t="s">
        <v>29</v>
      </c>
    </row>
    <row r="10" spans="1:1" x14ac:dyDescent="0.4">
      <c r="A10" s="2" t="e" cm="1" vm="1478">
        <f t="array" ref="A10">_FV(#REF!,"Ticker-Symbol",TRUE)</f>
        <v>#VALUE!</v>
      </c>
    </row>
    <row r="11" spans="1:1" x14ac:dyDescent="0.4">
      <c r="A11" s="14" t="s">
        <v>31</v>
      </c>
    </row>
    <row r="12" spans="1:1" x14ac:dyDescent="0.4">
      <c r="A12" s="14" t="s">
        <v>40</v>
      </c>
    </row>
    <row r="13" spans="1:1" x14ac:dyDescent="0.4">
      <c r="A13" s="14" t="s">
        <v>39</v>
      </c>
    </row>
    <row r="14" spans="1:1" x14ac:dyDescent="0.4">
      <c r="A14" s="2" t="e" cm="1" vm="1478">
        <f t="array" ref="A14">_FV(#REF!,"Ticker-Symbol",TRUE)</f>
        <v>#VALUE!</v>
      </c>
    </row>
    <row r="15" spans="1:1" x14ac:dyDescent="0.4">
      <c r="A15" s="14" t="s">
        <v>70</v>
      </c>
    </row>
    <row r="16" spans="1:1" x14ac:dyDescent="0.4">
      <c r="A16" s="14" t="s">
        <v>36</v>
      </c>
    </row>
    <row r="17" spans="1:1" x14ac:dyDescent="0.4">
      <c r="A17" s="14" t="s">
        <v>35</v>
      </c>
    </row>
    <row r="18" spans="1:1" x14ac:dyDescent="0.4">
      <c r="A18" s="14" t="s">
        <v>35</v>
      </c>
    </row>
    <row r="19" spans="1:1" x14ac:dyDescent="0.4">
      <c r="A19" s="14" t="s">
        <v>51</v>
      </c>
    </row>
    <row r="20" spans="1:1" x14ac:dyDescent="0.4">
      <c r="A20" s="14" t="s">
        <v>37</v>
      </c>
    </row>
    <row r="21" spans="1:1" x14ac:dyDescent="0.4">
      <c r="A21" s="14" t="s">
        <v>32</v>
      </c>
    </row>
    <row r="22" spans="1:1" x14ac:dyDescent="0.4">
      <c r="A22" s="2" t="e" cm="1" vm="1478">
        <f t="array" ref="A22">_FV(#REF!,"Ticker-Symbol",TRUE)</f>
        <v>#VALUE!</v>
      </c>
    </row>
    <row r="23" spans="1:1" x14ac:dyDescent="0.4">
      <c r="A23" s="14" t="s">
        <v>42</v>
      </c>
    </row>
    <row r="24" spans="1:1" x14ac:dyDescent="0.4">
      <c r="A24" s="14" t="s">
        <v>30</v>
      </c>
    </row>
    <row r="25" spans="1:1" x14ac:dyDescent="0.4">
      <c r="A25" s="14" t="s">
        <v>43</v>
      </c>
    </row>
    <row r="26" spans="1:1" x14ac:dyDescent="0.4">
      <c r="A26" s="2" t="e" cm="1" vm="1478">
        <f t="array" ref="A26">_FV(#REF!,"Ticker-Symbol",TRUE)</f>
        <v>#VALUE!</v>
      </c>
    </row>
    <row r="27" spans="1:1" x14ac:dyDescent="0.4">
      <c r="A27" s="14" t="s">
        <v>41</v>
      </c>
    </row>
    <row r="28" spans="1:1" x14ac:dyDescent="0.4">
      <c r="A28" s="14" t="s">
        <v>45</v>
      </c>
    </row>
    <row r="29" spans="1:1" x14ac:dyDescent="0.4">
      <c r="A29" s="14" t="s">
        <v>48</v>
      </c>
    </row>
    <row r="30" spans="1:1" x14ac:dyDescent="0.4">
      <c r="A30" s="14" t="s">
        <v>44</v>
      </c>
    </row>
    <row r="31" spans="1:1" x14ac:dyDescent="0.4">
      <c r="A31" s="14" t="s">
        <v>27</v>
      </c>
    </row>
    <row r="32" spans="1:1" x14ac:dyDescent="0.4">
      <c r="A32" s="14" t="s">
        <v>50</v>
      </c>
    </row>
    <row r="33" spans="1:1" x14ac:dyDescent="0.4">
      <c r="A33" s="14" t="s">
        <v>46</v>
      </c>
    </row>
    <row r="34" spans="1:1" x14ac:dyDescent="0.4">
      <c r="A34" s="14" t="s">
        <v>49</v>
      </c>
    </row>
    <row r="35" spans="1:1" x14ac:dyDescent="0.4">
      <c r="A35" s="14" t="s">
        <v>52</v>
      </c>
    </row>
    <row r="36" spans="1:1" x14ac:dyDescent="0.4">
      <c r="A36" s="14" t="s">
        <v>54</v>
      </c>
    </row>
    <row r="37" spans="1:1" x14ac:dyDescent="0.4">
      <c r="A37" s="14" t="s">
        <v>25</v>
      </c>
    </row>
    <row r="38" spans="1:1" x14ac:dyDescent="0.4">
      <c r="A38" s="14" t="s">
        <v>47</v>
      </c>
    </row>
    <row r="39" spans="1:1" x14ac:dyDescent="0.4">
      <c r="A39" s="14" t="s">
        <v>34</v>
      </c>
    </row>
    <row r="40" spans="1:1" x14ac:dyDescent="0.4">
      <c r="A40" s="2" t="e" cm="1" vm="1478">
        <f t="array" ref="A40">_FV(#REF!,"Ticker-Symbol",TRUE)</f>
        <v>#VALUE!</v>
      </c>
    </row>
    <row r="41" spans="1:1" x14ac:dyDescent="0.4">
      <c r="A41" s="14" t="s">
        <v>56</v>
      </c>
    </row>
    <row r="42" spans="1:1" x14ac:dyDescent="0.4">
      <c r="A42" s="14" t="s">
        <v>60</v>
      </c>
    </row>
    <row r="43" spans="1:1" x14ac:dyDescent="0.4">
      <c r="A43" s="14" t="s">
        <v>53</v>
      </c>
    </row>
    <row r="44" spans="1:1" x14ac:dyDescent="0.4">
      <c r="A44" s="14" t="s">
        <v>55</v>
      </c>
    </row>
    <row r="45" spans="1:1" x14ac:dyDescent="0.4">
      <c r="A45" s="14" t="s">
        <v>62</v>
      </c>
    </row>
    <row r="46" spans="1:1" x14ac:dyDescent="0.4">
      <c r="A46" s="14" t="s">
        <v>58</v>
      </c>
    </row>
    <row r="47" spans="1:1" x14ac:dyDescent="0.4">
      <c r="A47" s="14" t="s">
        <v>57</v>
      </c>
    </row>
    <row r="48" spans="1:1" x14ac:dyDescent="0.4">
      <c r="A48" s="14" t="s">
        <v>59</v>
      </c>
    </row>
    <row r="49" spans="1:1" x14ac:dyDescent="0.4">
      <c r="A49" s="14" t="s">
        <v>38</v>
      </c>
    </row>
    <row r="50" spans="1:1" x14ac:dyDescent="0.4">
      <c r="A50" s="14" t="s">
        <v>61</v>
      </c>
    </row>
    <row r="51" spans="1:1" x14ac:dyDescent="0.4">
      <c r="A51" s="14" t="s">
        <v>63</v>
      </c>
    </row>
    <row r="52" spans="1:1" x14ac:dyDescent="0.4">
      <c r="A52" s="14" t="s">
        <v>64</v>
      </c>
    </row>
    <row r="53" spans="1:1" x14ac:dyDescent="0.4">
      <c r="A53" s="14" t="s">
        <v>69</v>
      </c>
    </row>
    <row r="54" spans="1:1" x14ac:dyDescent="0.4">
      <c r="A54" s="14" t="s">
        <v>66</v>
      </c>
    </row>
    <row r="55" spans="1:1" x14ac:dyDescent="0.4">
      <c r="A55" s="14" t="s">
        <v>67</v>
      </c>
    </row>
    <row r="56" spans="1:1" x14ac:dyDescent="0.4">
      <c r="A56" s="14" t="s">
        <v>65</v>
      </c>
    </row>
    <row r="57" spans="1:1" x14ac:dyDescent="0.4">
      <c r="A57" s="14" t="s">
        <v>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Walter Ulli</dc:creator>
  <cp:lastModifiedBy>Walter Ulli</cp:lastModifiedBy>
  <dcterms:created xsi:type="dcterms:W3CDTF">2024-10-13T07:03:42Z</dcterms:created>
  <dcterms:modified xsi:type="dcterms:W3CDTF">2024-10-15T13:22:08Z</dcterms:modified>
</cp:coreProperties>
</file>